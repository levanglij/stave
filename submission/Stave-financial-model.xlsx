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Assumptions" sheetId="3" state="visible" r:id="rId5"/>
    <sheet name="Revenue" sheetId="4" state="visible" r:id="rId6"/>
    <sheet name="Costs" sheetId="5" state="visible" r:id="rId7"/>
    <sheet name="P&amp;L" sheetId="6" state="visible" r:id="rId8"/>
    <sheet name="KP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<sst xmlns="http://schemas.openxmlformats.org/spreadsheetml/2006/main" count="347" uniqueCount="117">
  <si>
    <t xml:space="preserve">IPOA Financial Plan — How to Read This Model</t>
  </si>
  <si>
    <t xml:space="preserve">Solana Frontier Hackathon 2026  ·  April 2026</t>
  </si>
  <si>
    <t xml:space="preserve">Sheet map</t>
  </si>
  <si>
    <t xml:space="preserve">Summary</t>
  </si>
  <si>
    <t xml:space="preserve">Top-of-funnel view: revenue, EBITDA, AUM across all 3 scenarios, plus Y5 base-case tiles.</t>
  </si>
  <si>
    <t xml:space="preserve">Assumptions</t>
  </si>
  <si>
    <t xml:space="preserve">Every blue cell is an input. Change them to stress-test. Conservative / Base / Aggressive live side-by-side.</t>
  </si>
  <si>
    <t xml:space="preserve">Revenue</t>
  </si>
  <si>
    <t xml:space="preserve">Builds AUM roll-forward and four revenue streams (origination, servicing, secondary, analytics) for each scenario.</t>
  </si>
  <si>
    <t xml:space="preserve">Costs</t>
  </si>
  <si>
    <t xml:space="preserve">Personnel (headcount × FL cost) + infra + G&amp;A as % of revenue.</t>
  </si>
  <si>
    <t xml:space="preserve">P&amp;L</t>
  </si>
  <si>
    <t xml:space="preserve">Revenue − costs = EBITDA, with margin % and cumulative burn/profit.</t>
  </si>
  <si>
    <t xml:space="preserve">KPIs</t>
  </si>
  <si>
    <t xml:space="preserve">Catalogs listed, AUM, recurring revenue, take rate.</t>
  </si>
  <si>
    <t xml:space="preserve">Color legend</t>
  </si>
  <si>
    <t xml:space="preserve">Blue</t>
  </si>
  <si>
    <t xml:space="preserve">Hardcoded input — change to stress the model</t>
  </si>
  <si>
    <t xml:space="preserve">Black</t>
  </si>
  <si>
    <t xml:space="preserve">Calculation (formula)</t>
  </si>
  <si>
    <t xml:space="preserve">Green</t>
  </si>
  <si>
    <t xml:space="preserve">Cross-sheet reference (pulls from another tab)</t>
  </si>
  <si>
    <t xml:space="preserve">Yellow fill</t>
  </si>
  <si>
    <t xml:space="preserve">Key assumption worth flagging</t>
  </si>
  <si>
    <t xml:space="preserve">Revenue model</t>
  </si>
  <si>
    <t xml:space="preserve">Origination</t>
  </si>
  <si>
    <t xml:space="preserve">2.5% of listing $ at catalog mint (base case). Paid once per new listing.</t>
  </si>
  <si>
    <t xml:space="preserve">Servicing</t>
  </si>
  <si>
    <t xml:space="preserve">0.75% of average AUM per year. Skimmed off royalty payouts flowing through on-chain vaults.</t>
  </si>
  <si>
    <t xml:space="preserve">Secondary market</t>
  </si>
  <si>
    <t xml:space="preserve">0.25% of secondary trading volume (base); volume modeled as a % of AUM.</t>
  </si>
  <si>
    <t xml:space="preserve">Analytics</t>
  </si>
  <si>
    <t xml:space="preserve">Institutional subscribers × ARPU/month × 12. The Bloomberg/MSCI analog for the asset class.</t>
  </si>
  <si>
    <t xml:space="preserve">Note on conservatism</t>
  </si>
  <si>
    <t xml:space="preserve">Base case assumes ~100% catalog growth YoY in Y2, tapering to 75% by Y5 — modest for a marketplace with PRO data moat. Conservative assumes growth stalls at regulatory/funding friction. Aggressive assumes a label partnership or aggregator deal lands by Y2.</t>
  </si>
  <si>
    <t xml:space="preserve">IPOA — Financial Plan Model</t>
  </si>
  <si>
    <t xml:space="preserve">5-year projection · three scenarios · April 2026</t>
  </si>
  <si>
    <t xml:space="preserve">Headline P&amp;L by scenario</t>
  </si>
  <si>
    <t xml:space="preserve">Revenue / scenario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</si>
  <si>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</si>
  <si>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</si>
  <si>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</si>
  <si>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</si>
  <si>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</si>
  <si>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5-yr total</t>
  </si>
  <si>
    <t xml:space="preserve">Conservative</t>
  </si>
  <si>
    <t xml:space="preserve">Base</t>
  </si>
  <si>
    <t xml:space="preserve">Aggressive</t>
  </si>
  <si>
    <t xml:space="preserve">EBITDA / scenario</t>
  </si>
  <si>
    <t xml:space="preserve">AUM, end of year</t>
  </si>
  <si>
    <t xml:space="preserve">Base case at year 5</t>
  </si>
  <si>
    <t xml:space="preserve">EBITDA</t>
  </si>
  <si>
    <t xml:space="preserve">AUM (EOY)</t>
  </si>
  <si>
    <t xml:space="preserve">Cumulative catalogs</t>
  </si>
  <si>
    <t xml:space="preserve">Break-even in Y4 under base case. Servicing on AUM becomes the dominant recurring line by Y5, giving the business a Moody's-style annuity tail once the rating franchise is established.</t>
  </si>
  <si>
    <t xml:space="preserve">All blue cells are direct inputs. Change them to stress-test the model.</t>
  </si>
  <si>
    <t xml:space="preserve">Driver</t>
  </si>
  <si>
    <t xml:space="preserve">Unit</t>
  </si>
  <si>
    <t xml:space="preserve">MARKET ACTIVITY</t>
  </si>
  <si>
    <t xml:space="preserve">New catalogs listed</t>
  </si>
  <si>
    <t xml:space="preserve">count</t>
  </si>
  <si>
    <t xml:space="preserve">Avg catalog listing value</t>
  </si>
  <si>
    <t xml:space="preserve">$</t>
  </si>
  <si>
    <t xml:space="preserve">AUM runoff rate</t>
  </si>
  <si>
    <t xml:space="preserve">% per yr</t>
  </si>
  <si>
    <t xml:space="preserve">TRANSACTION FEES</t>
  </si>
  <si>
    <t xml:space="preserve">Origination fee rate</t>
  </si>
  <si>
    <t xml:space="preserve">% of listing</t>
  </si>
  <si>
    <t xml:space="preserve">Servicing fee rate</t>
  </si>
  <si>
    <t xml:space="preserve">% of avg AUM</t>
  </si>
  <si>
    <t xml:space="preserve">Secondary volume</t>
  </si>
  <si>
    <t xml:space="preserve">Secondary market fee</t>
  </si>
  <si>
    <t xml:space="preserve">% of volume</t>
  </si>
  <si>
    <t xml:space="preserve">ANALYTICS SUBSCRIPTIONS</t>
  </si>
  <si>
    <t xml:space="preserve">Institutional subscribers</t>
  </si>
  <si>
    <t xml:space="preserve">Subscription ARPU</t>
  </si>
  <si>
    <t xml:space="preserve">$/mo</t>
  </si>
  <si>
    <t xml:space="preserve">OPERATING COSTS</t>
  </si>
  <si>
    <t xml:space="preserve">Headcount (avg)</t>
  </si>
  <si>
    <t xml:space="preserve">FTE</t>
  </si>
  <si>
    <t xml:space="preserve">Fully-loaded cost / head</t>
  </si>
  <si>
    <t xml:space="preserve">$/yr</t>
  </si>
  <si>
    <t xml:space="preserve">Infra + compliance</t>
  </si>
  <si>
    <t xml:space="preserve">G&amp;A + marketing</t>
  </si>
  <si>
    <t xml:space="preserve">% of revenue</t>
  </si>
  <si>
    <t xml:space="preserve">Revenue Build</t>
  </si>
  <si>
    <t xml:space="preserve">Revenue = Origination + Servicing + Secondary market + Analytics subscriptions.</t>
  </si>
  <si>
    <t xml:space="preserve">Line</t>
  </si>
  <si>
    <t xml:space="preserve">  Conservative</t>
  </si>
  <si>
    <t xml:space="preserve">New listings value</t>
  </si>
  <si>
    <t xml:space="preserve">%</t>
  </si>
  <si>
    <t xml:space="preserve">AUM — BOY</t>
  </si>
  <si>
    <t xml:space="preserve">AUM — EOY</t>
  </si>
  <si>
    <t xml:space="preserve">AUM — average</t>
  </si>
  <si>
    <t xml:space="preserve">Origination fees</t>
  </si>
  <si>
    <t xml:space="preserve">Servicing fees (on AUM)</t>
  </si>
  <si>
    <t xml:space="preserve">Secondary market fees</t>
  </si>
  <si>
    <t xml:space="preserve">Analytics subscriptions</t>
  </si>
  <si>
    <t xml:space="preserve">Total revenue</t>
  </si>
  <si>
    <t xml:space="preserve">  Base</t>
  </si>
  <si>
    <t xml:space="preserve">  Aggressive</t>
  </si>
  <si>
    <t xml:space="preserve">Operating Costs</t>
  </si>
  <si>
    <t xml:space="preserve">Team comp is the largest line; infra + G&amp;A scale with revenue.</t>
  </si>
  <si>
    <t xml:space="preserve">Personnel</t>
  </si>
  <si>
    <t xml:space="preserve">Total operating costs</t>
  </si>
  <si>
    <t xml:space="preserve">Profit &amp; Loss</t>
  </si>
  <si>
    <t xml:space="preserve">Revenue, costs, EBITDA, margin by year and scenario.</t>
  </si>
  <si>
    <t xml:space="preserve">(−) Operating costs</t>
  </si>
  <si>
    <t xml:space="preserve">EBITDA margin</t>
  </si>
  <si>
    <t xml:space="preserve">Cumulative EBITDA (capital need)</t>
  </si>
  <si>
    <t xml:space="preserve">Key Performance Indicators</t>
  </si>
  <si>
    <t xml:space="preserve">Operating metrics judges and investors care about.</t>
  </si>
  <si>
    <t xml:space="preserve">Metric</t>
  </si>
  <si>
    <t xml:space="preserve">Cumulative catalogs listed</t>
  </si>
  <si>
    <t xml:space="preserve">Recurring revenue (servicing + analytics)</t>
  </si>
  <si>
    <t xml:space="preserve">Revenue per cumulative catalog</t>
  </si>
  <si>
    <t xml:space="preserve">Effective take rate (rev / new listings $)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</si>
</sst>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\$#,##0;&quot;($&quot;#,##0\);\-"/>
    <numFmt numFmtId="167" formatCode="#,##0;\(#,##0\);\-"/>
    <numFmt numFmtId="168" formatCode="0.0%;\(0.0%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C89B3C"/>
      <name val="Arial"/>
      <family val="0"/>
      <charset val="1"/>
    </font>
    <font>
      <b val="true"/>
      <sz val="11"/>
      <color rgb="FF0B1E3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6100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3"/>
      <color rgb="FF0B1E3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8"/>
      <color rgb="FF0B1E3F"/>
      <name val="Arial"/>
      <family val="0"/>
      <charset val="1"/>
    </font>
    <font>
      <b val="true"/>
      <sz val="20"/>
      <color rgb="FF0B1E3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1E3F"/>
        <bgColor rgb="FF003300"/>
      </patternFill>
    </fill>
    <fill>
      <patternFill patternType="solid">
        <fgColor rgb="FFFFF9C4"/>
        <bgColor rgb="FFF5F1E8"/>
      </patternFill>
    </fill>
    <fill>
      <patternFill patternType="solid">
        <fgColor rgb="FFF5F1E8"/>
        <bgColor rgb="FFF8F9FB"/>
      </patternFill>
    </fill>
    <fill>
      <patternFill patternType="solid">
        <fgColor rgb="FFF8F9FB"/>
        <bgColor rgb="FFFFFFFF"/>
      </patternFill>
    </fill>
    <fill>
      <patternFill patternType="solid">
        <fgColor rgb="FFE5E7EB"/>
        <bgColor rgb="FFF5F1E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0B1E3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5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5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B"/>
      <rgbColor rgb="FFF5F1E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B3C"/>
      <rgbColor rgb="FFFF6600"/>
      <rgbColor rgb="FF555555"/>
      <rgbColor rgb="FF969696"/>
      <rgbColor rgb="FF0B1E3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1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</row>
    <row r="7" customFormat="false" ht="23.8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</row>
    <row r="8" customFormat="false" ht="1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</row>
    <row r="9" customFormat="false" ht="1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</row>
    <row r="10" customFormat="false" ht="15" hidden="false" customHeight="true" outlineLevel="0" collapsed="false">
      <c r="A10" s="4" t="s">
        <v>13</v>
      </c>
      <c r="B10" s="5" t="s">
        <v>14</v>
      </c>
      <c r="C10" s="5"/>
      <c r="D10" s="5"/>
      <c r="E10" s="5"/>
      <c r="F10" s="5"/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6" t="s">
        <v>16</v>
      </c>
      <c r="B13" s="7" t="s">
        <v>17</v>
      </c>
      <c r="C13" s="7"/>
      <c r="D13" s="7"/>
      <c r="E13" s="7"/>
      <c r="F13" s="7"/>
    </row>
    <row r="14" customFormat="false" ht="15" hidden="false" customHeight="false" outlineLevel="0" collapsed="false">
      <c r="A14" s="8" t="s">
        <v>18</v>
      </c>
      <c r="B14" s="7" t="s">
        <v>19</v>
      </c>
      <c r="C14" s="7"/>
      <c r="D14" s="7"/>
      <c r="E14" s="7"/>
      <c r="F14" s="7"/>
    </row>
    <row r="15" customFormat="false" ht="15" hidden="false" customHeight="false" outlineLevel="0" collapsed="false">
      <c r="A15" s="9" t="s">
        <v>20</v>
      </c>
      <c r="B15" s="7" t="s">
        <v>21</v>
      </c>
      <c r="C15" s="7"/>
      <c r="D15" s="7"/>
      <c r="E15" s="7"/>
      <c r="F15" s="7"/>
    </row>
    <row r="16" customFormat="false" ht="15" hidden="false" customHeight="false" outlineLevel="0" collapsed="false">
      <c r="A16" s="10" t="s">
        <v>22</v>
      </c>
      <c r="B16" s="7" t="s">
        <v>23</v>
      </c>
      <c r="C16" s="7"/>
      <c r="D16" s="7"/>
      <c r="E16" s="7"/>
      <c r="F16" s="7"/>
    </row>
    <row r="18" customFormat="false" ht="15" hidden="false" customHeight="false" outlineLevel="0" collapsed="false">
      <c r="A18" s="3" t="s">
        <v>24</v>
      </c>
    </row>
    <row r="19" customFormat="false" ht="15" hidden="false" customHeight="true" outlineLevel="0" collapsed="false">
      <c r="A19" s="4" t="s">
        <v>25</v>
      </c>
      <c r="B19" s="5" t="s">
        <v>26</v>
      </c>
      <c r="C19" s="5"/>
      <c r="D19" s="5"/>
      <c r="E19" s="5"/>
      <c r="F19" s="5"/>
    </row>
    <row r="20" customFormat="false" ht="15" hidden="false" customHeight="true" outlineLevel="0" collapsed="false">
      <c r="A20" s="4" t="s">
        <v>27</v>
      </c>
      <c r="B20" s="5" t="s">
        <v>28</v>
      </c>
      <c r="C20" s="5"/>
      <c r="D20" s="5"/>
      <c r="E20" s="5"/>
      <c r="F20" s="5"/>
    </row>
    <row r="21" customFormat="false" ht="15" hidden="false" customHeight="true" outlineLevel="0" collapsed="false">
      <c r="A21" s="4" t="s">
        <v>29</v>
      </c>
      <c r="B21" s="5" t="s">
        <v>30</v>
      </c>
      <c r="C21" s="5"/>
      <c r="D21" s="5"/>
      <c r="E21" s="5"/>
      <c r="F21" s="5"/>
    </row>
    <row r="22" customFormat="false" ht="15" hidden="false" customHeight="true" outlineLevel="0" collapsed="false">
      <c r="A22" s="4" t="s">
        <v>31</v>
      </c>
      <c r="B22" s="5" t="s">
        <v>32</v>
      </c>
      <c r="C22" s="5"/>
      <c r="D22" s="5"/>
      <c r="E22" s="5"/>
      <c r="F22" s="5"/>
    </row>
    <row r="24" customFormat="false" ht="15" hidden="false" customHeight="false" outlineLevel="0" collapsed="false">
      <c r="A24" s="3" t="s">
        <v>33</v>
      </c>
    </row>
    <row r="25" customFormat="false" ht="51.75" hidden="false" customHeight="true" outlineLevel="0" collapsed="false">
      <c r="A25" s="11" t="s">
        <v>34</v>
      </c>
      <c r="B25" s="11"/>
      <c r="C25" s="11"/>
      <c r="D25" s="11"/>
      <c r="E25" s="11"/>
      <c r="F25" s="11"/>
    </row>
  </sheetData>
  <mergeCells count="17">
    <mergeCell ref="A1:F1"/>
    <mergeCell ref="A2:F2"/>
    <mergeCell ref="B5:F5"/>
    <mergeCell ref="B6:F6"/>
    <mergeCell ref="B7:F7"/>
    <mergeCell ref="B8:F8"/>
    <mergeCell ref="B9:F9"/>
    <mergeCell ref="B10:F10"/>
    <mergeCell ref="B13:F13"/>
    <mergeCell ref="B14:F14"/>
    <mergeCell ref="B15:F15"/>
    <mergeCell ref="B16:F16"/>
    <mergeCell ref="B19:F19"/>
    <mergeCell ref="B20:F20"/>
    <mergeCell ref="B21:F21"/>
    <mergeCell ref="B22:F2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5"/>
    <col collapsed="false" customWidth="true" hidden="false" outlineLevel="0" max="7" min="7" style="0" width="16"/>
    <col collapsed="false" customWidth="true" hidden="false" outlineLevel="0" max="8" min="8" style="0" width="2"/>
  </cols>
  <sheetData>
    <row r="1" customFormat="false" ht="43.5" hidden="false" customHeight="true" outlineLevel="0" collapsed="false">
      <c r="A1" s="12" t="s">
        <v>35</v>
      </c>
      <c r="B1" s="12"/>
      <c r="C1" s="12"/>
      <c r="D1" s="12"/>
      <c r="E1" s="12"/>
      <c r="F1" s="12"/>
      <c r="G1" s="12"/>
      <c r="H1" s="12"/>
    </row>
    <row r="2" customFormat="false" ht="19.5" hidden="false" customHeight="true" outlineLevel="0" collapsed="false">
      <c r="A2" s="2" t="s">
        <v>36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37</v>
      </c>
    </row>
    <row r="5" customFormat="false" ht="15" hidden="false" customHeight="false" outlineLevel="0" collapsed="false">
      <c r="A5" s="13" t="s">
        <v>38</v>
      </c>
      <c r="B5" s="14" t="s">
        <v>39</v>
      </c>
      <c r="C5" s="14" t="s">
        <v>40</v>
      </c>
      <c r="D5" s="14" t="s">
        <v>41</v>
      </c>
      <c r="E5" s="14" t="s">
        <v>42</v>
      </c>
      <c r="F5" s="14" t="s">
        <v>43</v>
      </c>
      <c r="G5" s="15" t="s">
        <v>44</v>
      </c>
    </row>
    <row r="6" customFormat="false" ht="15" hidden="false" customHeight="false" outlineLevel="0" collapsed="false">
      <c r="A6" s="8" t="s">
        <v>45</v>
      </c>
      <c r="B6" s="16" t="n">
        <f aca="false">Revenue!C20</f>
        <v>23265</v>
      </c>
      <c r="C6" s="16" t="n">
        <f aca="false">Revenue!D20</f>
        <v>68410.125</v>
      </c>
      <c r="D6" s="16" t="n">
        <f aca="false">Revenue!E20</f>
        <v>191778.15</v>
      </c>
      <c r="E6" s="16" t="n">
        <f aca="false">Revenue!F20</f>
        <v>448901.6296875</v>
      </c>
      <c r="F6" s="16" t="n">
        <f aca="false">Revenue!G20</f>
        <v>887398.06509375</v>
      </c>
      <c r="G6" s="17" t="n">
        <f aca="false">SUM(B6:F6)</f>
        <v>1619752.96978125</v>
      </c>
    </row>
    <row r="7" customFormat="false" ht="15" hidden="false" customHeight="false" outlineLevel="0" collapsed="false">
      <c r="A7" s="8" t="s">
        <v>46</v>
      </c>
      <c r="B7" s="16" t="n">
        <f aca="false">Revenue!C36</f>
        <v>432500</v>
      </c>
      <c r="C7" s="16" t="n">
        <f aca="false">Revenue!D36</f>
        <v>990796.875</v>
      </c>
      <c r="D7" s="16" t="n">
        <f aca="false">Revenue!E36</f>
        <v>2493124.21875</v>
      </c>
      <c r="E7" s="16" t="n">
        <f aca="false">Revenue!F36</f>
        <v>5802826.9921875</v>
      </c>
      <c r="F7" s="16" t="n">
        <f aca="false">Revenue!G36</f>
        <v>12781042.224125</v>
      </c>
      <c r="G7" s="17" t="n">
        <f aca="false">SUM(B7:F7)</f>
        <v>22500290.3100625</v>
      </c>
    </row>
    <row r="8" customFormat="false" ht="15" hidden="false" customHeight="false" outlineLevel="0" collapsed="false">
      <c r="A8" s="8" t="s">
        <v>47</v>
      </c>
      <c r="B8" s="16" t="n">
        <f aca="false">Revenue!C52</f>
        <v>2145600</v>
      </c>
      <c r="C8" s="16" t="n">
        <f aca="false">Revenue!D52</f>
        <v>6091488</v>
      </c>
      <c r="D8" s="16" t="n">
        <f aca="false">Revenue!E52</f>
        <v>18631226.88</v>
      </c>
      <c r="E8" s="16" t="n">
        <f aca="false">Revenue!F52</f>
        <v>52670954.496</v>
      </c>
      <c r="F8" s="16" t="n">
        <f aca="false">Revenue!G52</f>
        <v>130092373.905408</v>
      </c>
      <c r="G8" s="17" t="n">
        <f aca="false">SUM(B8:F8)</f>
        <v>209631643.281408</v>
      </c>
    </row>
    <row r="10" customFormat="false" ht="15" hidden="false" customHeight="false" outlineLevel="0" collapsed="false">
      <c r="A10" s="13" t="s">
        <v>48</v>
      </c>
      <c r="B10" s="14" t="s">
        <v>39</v>
      </c>
      <c r="C10" s="14" t="s">
        <v>40</v>
      </c>
      <c r="D10" s="14" t="s">
        <v>41</v>
      </c>
      <c r="E10" s="14" t="s">
        <v>42</v>
      </c>
      <c r="F10" s="14" t="s">
        <v>43</v>
      </c>
      <c r="G10" s="15" t="s">
        <v>44</v>
      </c>
    </row>
    <row r="11" customFormat="false" ht="15" hidden="false" customHeight="false" outlineLevel="0" collapsed="false">
      <c r="A11" s="8" t="s">
        <v>45</v>
      </c>
      <c r="B11" s="16" t="n">
        <f aca="false">'P&amp;L'!C9</f>
        <v>-579526.8</v>
      </c>
      <c r="C11" s="16" t="n">
        <f aca="false">'P&amp;L'!D9</f>
        <v>-914799.09</v>
      </c>
      <c r="D11" s="16" t="n">
        <f aca="false">'P&amp;L'!E9</f>
        <v>-1386235.228</v>
      </c>
      <c r="E11" s="16" t="n">
        <f aca="false">'P&amp;L'!F9</f>
        <v>-1957966.565875</v>
      </c>
      <c r="F11" s="16" t="n">
        <f aca="false">'P&amp;L'!G9</f>
        <v>-2609089.7027175</v>
      </c>
      <c r="G11" s="17" t="n">
        <f aca="false">SUM(B11:F11)</f>
        <v>-7447617.3865925</v>
      </c>
    </row>
    <row r="12" customFormat="false" ht="15" hidden="false" customHeight="false" outlineLevel="0" collapsed="false">
      <c r="A12" s="8" t="s">
        <v>46</v>
      </c>
      <c r="B12" s="16" t="n">
        <f aca="false">'P&amp;L'!C16</f>
        <v>-502375</v>
      </c>
      <c r="C12" s="16" t="n">
        <f aca="false">'P&amp;L'!D16</f>
        <v>-847822.65625</v>
      </c>
      <c r="D12" s="16" t="n">
        <f aca="false">'P&amp;L'!E16</f>
        <v>-834844.4140625</v>
      </c>
      <c r="E12" s="16" t="n">
        <f aca="false">'P&amp;L'!F16</f>
        <v>230402.943359375</v>
      </c>
      <c r="F12" s="16" t="n">
        <f aca="false">'P&amp;L'!G16</f>
        <v>3887885.89050625</v>
      </c>
      <c r="G12" s="17" t="n">
        <f aca="false">SUM(B12:F12)</f>
        <v>1933246.76355313</v>
      </c>
    </row>
    <row r="13" customFormat="false" ht="15" hidden="false" customHeight="false" outlineLevel="0" collapsed="false">
      <c r="A13" s="8" t="s">
        <v>47</v>
      </c>
      <c r="B13" s="16" t="n">
        <f aca="false">'P&amp;L'!C23</f>
        <v>359392</v>
      </c>
      <c r="C13" s="16" t="n">
        <f aca="false">'P&amp;L'!D23</f>
        <v>1735020.16</v>
      </c>
      <c r="D13" s="16" t="n">
        <f aca="false">'P&amp;L'!E23</f>
        <v>8605606.0416</v>
      </c>
      <c r="E13" s="16" t="n">
        <f aca="false">'P&amp;L'!F23</f>
        <v>31330182.68672</v>
      </c>
      <c r="F13" s="16" t="n">
        <f aca="false">'P&amp;L'!G23</f>
        <v>87363746.6024346</v>
      </c>
      <c r="G13" s="17" t="n">
        <f aca="false">SUM(B13:F13)</f>
        <v>129393947.490755</v>
      </c>
    </row>
    <row r="15" customFormat="false" ht="15" hidden="false" customHeight="false" outlineLevel="0" collapsed="false">
      <c r="A15" s="13" t="s">
        <v>49</v>
      </c>
      <c r="B15" s="14" t="s">
        <v>39</v>
      </c>
      <c r="C15" s="14" t="s">
        <v>40</v>
      </c>
      <c r="D15" s="14" t="s">
        <v>41</v>
      </c>
      <c r="E15" s="14" t="s">
        <v>42</v>
      </c>
      <c r="F15" s="14" t="s">
        <v>43</v>
      </c>
    </row>
    <row r="16" customFormat="false" ht="15" hidden="false" customHeight="false" outlineLevel="0" collapsed="false">
      <c r="A16" s="8" t="s">
        <v>45</v>
      </c>
      <c r="B16" s="16" t="n">
        <f aca="false">Revenue!C13</f>
        <v>300000</v>
      </c>
      <c r="C16" s="16" t="n">
        <f aca="false">Revenue!D13</f>
        <v>1335000</v>
      </c>
      <c r="D16" s="16" t="n">
        <f aca="false">Revenue!E13</f>
        <v>4302750</v>
      </c>
      <c r="E16" s="16" t="n">
        <f aca="false">Revenue!F13</f>
        <v>11260537.5</v>
      </c>
      <c r="F16" s="16" t="n">
        <f aca="false">Revenue!G13</f>
        <v>24086656.875</v>
      </c>
    </row>
    <row r="17" customFormat="false" ht="15" hidden="false" customHeight="false" outlineLevel="0" collapsed="false">
      <c r="A17" s="8" t="s">
        <v>46</v>
      </c>
      <c r="B17" s="16" t="n">
        <f aca="false">Revenue!C29</f>
        <v>2500000</v>
      </c>
      <c r="C17" s="16" t="n">
        <f aca="false">Revenue!D29</f>
        <v>10875000</v>
      </c>
      <c r="D17" s="16" t="n">
        <f aca="false">Revenue!E29</f>
        <v>34584375</v>
      </c>
      <c r="E17" s="16" t="n">
        <f aca="false">Revenue!F29</f>
        <v>88158937.5</v>
      </c>
      <c r="F17" s="16" t="n">
        <f aca="false">Revenue!G29</f>
        <v>194166206.75</v>
      </c>
    </row>
    <row r="18" customFormat="false" ht="15" hidden="false" customHeight="false" outlineLevel="0" collapsed="false">
      <c r="A18" s="8" t="s">
        <v>47</v>
      </c>
      <c r="B18" s="16" t="n">
        <f aca="false">Revenue!C45</f>
        <v>9600000</v>
      </c>
      <c r="C18" s="16" t="n">
        <f aca="false">Revenue!D45</f>
        <v>49152000</v>
      </c>
      <c r="D18" s="16" t="n">
        <f aca="false">Revenue!E45</f>
        <v>190371840</v>
      </c>
      <c r="E18" s="16" t="n">
        <f aca="false">Revenue!F45</f>
        <v>610598092.8</v>
      </c>
      <c r="F18" s="16" t="n">
        <f aca="false">Revenue!G45</f>
        <v>1606844645.376</v>
      </c>
    </row>
    <row r="20" customFormat="false" ht="21.75" hidden="false" customHeight="true" outlineLevel="0" collapsed="false">
      <c r="A20" s="18" t="s">
        <v>50</v>
      </c>
      <c r="B20" s="18"/>
      <c r="C20" s="18"/>
      <c r="D20" s="18"/>
      <c r="E20" s="18"/>
      <c r="F20" s="18"/>
      <c r="G20" s="18"/>
    </row>
    <row r="21" customFormat="false" ht="18" hidden="false" customHeight="true" outlineLevel="0" collapsed="false">
      <c r="A21" s="19" t="s">
        <v>7</v>
      </c>
      <c r="B21" s="19"/>
      <c r="C21" s="19" t="s">
        <v>51</v>
      </c>
      <c r="D21" s="19"/>
      <c r="E21" s="19" t="s">
        <v>52</v>
      </c>
      <c r="F21" s="19"/>
      <c r="G21" s="19" t="s">
        <v>53</v>
      </c>
      <c r="H21" s="19"/>
    </row>
    <row r="22" customFormat="false" ht="31.5" hidden="false" customHeight="true" outlineLevel="0" collapsed="false">
      <c r="A22" s="20" t="n">
        <f aca="false">Revenue!G36</f>
        <v>12781042.224125</v>
      </c>
      <c r="B22" s="20"/>
      <c r="C22" s="20" t="n">
        <f aca="false">'P&amp;L'!G16</f>
        <v>3887885.89050625</v>
      </c>
      <c r="D22" s="20"/>
      <c r="E22" s="20" t="n">
        <f aca="false">Revenue!G29</f>
        <v>194166206.75</v>
      </c>
      <c r="F22" s="20"/>
      <c r="G22" s="21" t="n">
        <f aca="false">Revenue!G24</f>
        <v>2638</v>
      </c>
      <c r="H22" s="21"/>
    </row>
    <row r="24" customFormat="false" ht="42" hidden="false" customHeight="true" outlineLevel="0" collapsed="false">
      <c r="A24" s="11" t="s">
        <v>54</v>
      </c>
      <c r="B24" s="11"/>
      <c r="C24" s="11"/>
      <c r="D24" s="11"/>
      <c r="E24" s="11"/>
      <c r="F24" s="11"/>
      <c r="G24" s="11"/>
    </row>
  </sheetData>
  <mergeCells count="12">
    <mergeCell ref="A1:H1"/>
    <mergeCell ref="A2:H2"/>
    <mergeCell ref="A20:G20"/>
    <mergeCell ref="A21:B21"/>
    <mergeCell ref="C21:D21"/>
    <mergeCell ref="E21:F21"/>
    <mergeCell ref="G21:H21"/>
    <mergeCell ref="A22:B22"/>
    <mergeCell ref="C22:D22"/>
    <mergeCell ref="E22:F22"/>
    <mergeCell ref="G22:H22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2"/>
    <col collapsed="false" customWidth="true" hidden="false" outlineLevel="0" max="13" min="9" style="0" width="13"/>
    <col collapsed="false" customWidth="true" hidden="false" outlineLevel="0" max="14" min="14" style="0" width="2"/>
    <col collapsed="false" customWidth="true" hidden="false" outlineLevel="0" max="19" min="15" style="0" width="13"/>
  </cols>
  <sheetData>
    <row r="1" customFormat="false" ht="27.75" hidden="false" customHeight="true" outlineLevel="0" collapsed="false">
      <c r="A1" s="22" t="s">
        <v>5</v>
      </c>
    </row>
    <row r="2" customFormat="false" ht="15" hidden="false" customHeight="false" outlineLevel="0" collapsed="false">
      <c r="A2" s="23" t="s">
        <v>55</v>
      </c>
    </row>
    <row r="4" customFormat="false" ht="18" hidden="false" customHeight="true" outlineLevel="0" collapsed="false">
      <c r="C4" s="24" t="s">
        <v>45</v>
      </c>
      <c r="D4" s="24"/>
      <c r="E4" s="24"/>
      <c r="F4" s="24"/>
      <c r="G4" s="24"/>
      <c r="I4" s="24" t="s">
        <v>46</v>
      </c>
      <c r="J4" s="24"/>
      <c r="K4" s="24"/>
      <c r="L4" s="24"/>
      <c r="M4" s="24"/>
      <c r="O4" s="24" t="s">
        <v>47</v>
      </c>
      <c r="P4" s="24"/>
      <c r="Q4" s="24"/>
      <c r="R4" s="24"/>
      <c r="S4" s="24"/>
    </row>
    <row r="5" customFormat="false" ht="15" hidden="false" customHeight="false" outlineLevel="0" collapsed="false">
      <c r="A5" s="13" t="s">
        <v>56</v>
      </c>
      <c r="B5" s="13" t="s">
        <v>57</v>
      </c>
      <c r="C5" s="14" t="s">
        <v>39</v>
      </c>
      <c r="D5" s="14" t="s">
        <v>40</v>
      </c>
      <c r="E5" s="14" t="s">
        <v>41</v>
      </c>
      <c r="F5" s="14" t="s">
        <v>42</v>
      </c>
      <c r="G5" s="14" t="s">
        <v>43</v>
      </c>
      <c r="I5" s="14" t="s">
        <v>39</v>
      </c>
      <c r="J5" s="14" t="s">
        <v>40</v>
      </c>
      <c r="K5" s="14" t="s">
        <v>41</v>
      </c>
      <c r="L5" s="14" t="s">
        <v>42</v>
      </c>
      <c r="M5" s="14" t="s">
        <v>43</v>
      </c>
      <c r="O5" s="14" t="s">
        <v>39</v>
      </c>
      <c r="P5" s="14" t="s">
        <v>40</v>
      </c>
      <c r="Q5" s="14" t="s">
        <v>41</v>
      </c>
      <c r="R5" s="14" t="s">
        <v>42</v>
      </c>
      <c r="S5" s="14" t="s">
        <v>43</v>
      </c>
    </row>
    <row r="6" customFormat="false" ht="15" hidden="false" customHeight="false" outlineLevel="0" collapsed="false">
      <c r="A6" s="25" t="s">
        <v>58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</row>
    <row r="7" customFormat="false" ht="15" hidden="false" customHeight="false" outlineLevel="0" collapsed="false">
      <c r="A7" s="8" t="s">
        <v>59</v>
      </c>
      <c r="B7" s="27" t="s">
        <v>60</v>
      </c>
      <c r="C7" s="28" t="n">
        <v>15</v>
      </c>
      <c r="D7" s="28" t="n">
        <v>45</v>
      </c>
      <c r="E7" s="28" t="n">
        <v>110</v>
      </c>
      <c r="F7" s="28" t="n">
        <v>220</v>
      </c>
      <c r="G7" s="28" t="n">
        <v>350</v>
      </c>
      <c r="I7" s="28" t="n">
        <v>50</v>
      </c>
      <c r="J7" s="28" t="n">
        <v>150</v>
      </c>
      <c r="K7" s="28" t="n">
        <v>375</v>
      </c>
      <c r="L7" s="28" t="n">
        <v>750</v>
      </c>
      <c r="M7" s="28" t="n">
        <v>1313</v>
      </c>
      <c r="O7" s="28" t="n">
        <v>120</v>
      </c>
      <c r="P7" s="28" t="n">
        <v>420</v>
      </c>
      <c r="Q7" s="28" t="n">
        <v>1260</v>
      </c>
      <c r="R7" s="28" t="n">
        <v>3150</v>
      </c>
      <c r="S7" s="28" t="n">
        <v>6300</v>
      </c>
    </row>
    <row r="8" customFormat="false" ht="15" hidden="false" customHeight="false" outlineLevel="0" collapsed="false">
      <c r="A8" s="8" t="s">
        <v>61</v>
      </c>
      <c r="B8" s="27" t="s">
        <v>62</v>
      </c>
      <c r="C8" s="29" t="n">
        <v>20000</v>
      </c>
      <c r="D8" s="29" t="n">
        <v>24000</v>
      </c>
      <c r="E8" s="29" t="n">
        <v>28800</v>
      </c>
      <c r="F8" s="29" t="n">
        <v>34560</v>
      </c>
      <c r="G8" s="29" t="n">
        <v>41472</v>
      </c>
      <c r="I8" s="29" t="n">
        <v>50000</v>
      </c>
      <c r="J8" s="29" t="n">
        <v>57500</v>
      </c>
      <c r="K8" s="29" t="n">
        <v>66125</v>
      </c>
      <c r="L8" s="29" t="n">
        <v>76044</v>
      </c>
      <c r="M8" s="29" t="n">
        <v>87451</v>
      </c>
      <c r="O8" s="29" t="n">
        <v>80000</v>
      </c>
      <c r="P8" s="29" t="n">
        <v>96000</v>
      </c>
      <c r="Q8" s="29" t="n">
        <v>115200</v>
      </c>
      <c r="R8" s="29" t="n">
        <v>138240</v>
      </c>
      <c r="S8" s="29" t="n">
        <v>165888</v>
      </c>
    </row>
    <row r="9" customFormat="false" ht="15" hidden="false" customHeight="false" outlineLevel="0" collapsed="false">
      <c r="A9" s="8" t="s">
        <v>63</v>
      </c>
      <c r="B9" s="27" t="s">
        <v>64</v>
      </c>
      <c r="C9" s="30" t="n">
        <v>0.15</v>
      </c>
      <c r="D9" s="30" t="n">
        <v>0.15</v>
      </c>
      <c r="E9" s="30" t="n">
        <v>0.15</v>
      </c>
      <c r="F9" s="30" t="n">
        <v>0.15</v>
      </c>
      <c r="G9" s="30" t="n">
        <v>0.15</v>
      </c>
      <c r="I9" s="30" t="n">
        <v>0.1</v>
      </c>
      <c r="J9" s="30" t="n">
        <v>0.1</v>
      </c>
      <c r="K9" s="30" t="n">
        <v>0.1</v>
      </c>
      <c r="L9" s="30" t="n">
        <v>0.1</v>
      </c>
      <c r="M9" s="30" t="n">
        <v>0.1</v>
      </c>
      <c r="O9" s="30" t="n">
        <v>0.08</v>
      </c>
      <c r="P9" s="30" t="n">
        <v>0.08</v>
      </c>
      <c r="Q9" s="30" t="n">
        <v>0.08</v>
      </c>
      <c r="R9" s="30" t="n">
        <v>0.08</v>
      </c>
      <c r="S9" s="30" t="n">
        <v>0.08</v>
      </c>
    </row>
    <row r="10" customFormat="false" ht="15" hidden="false" customHeight="false" outlineLevel="0" collapsed="false">
      <c r="A10" s="25" t="s">
        <v>65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</row>
    <row r="11" customFormat="false" ht="15" hidden="false" customHeight="false" outlineLevel="0" collapsed="false">
      <c r="A11" s="8" t="s">
        <v>66</v>
      </c>
      <c r="B11" s="27" t="s">
        <v>67</v>
      </c>
      <c r="C11" s="30" t="n">
        <v>0.015</v>
      </c>
      <c r="D11" s="30" t="n">
        <v>0.015</v>
      </c>
      <c r="E11" s="30" t="n">
        <v>0.015</v>
      </c>
      <c r="F11" s="30" t="n">
        <v>0.015</v>
      </c>
      <c r="G11" s="30" t="n">
        <v>0.015</v>
      </c>
      <c r="I11" s="30" t="n">
        <v>0.025</v>
      </c>
      <c r="J11" s="30" t="n">
        <v>0.025</v>
      </c>
      <c r="K11" s="30" t="n">
        <v>0.025</v>
      </c>
      <c r="L11" s="30" t="n">
        <v>0.025</v>
      </c>
      <c r="M11" s="30" t="n">
        <v>0.025</v>
      </c>
      <c r="O11" s="30" t="n">
        <v>0.03</v>
      </c>
      <c r="P11" s="30" t="n">
        <v>0.03</v>
      </c>
      <c r="Q11" s="30" t="n">
        <v>0.03</v>
      </c>
      <c r="R11" s="30" t="n">
        <v>0.03</v>
      </c>
      <c r="S11" s="30" t="n">
        <v>0.03</v>
      </c>
    </row>
    <row r="12" customFormat="false" ht="15" hidden="false" customHeight="false" outlineLevel="0" collapsed="false">
      <c r="A12" s="8" t="s">
        <v>68</v>
      </c>
      <c r="B12" s="27" t="s">
        <v>69</v>
      </c>
      <c r="C12" s="30" t="n">
        <v>0.005</v>
      </c>
      <c r="D12" s="30" t="n">
        <v>0.005</v>
      </c>
      <c r="E12" s="30" t="n">
        <v>0.005</v>
      </c>
      <c r="F12" s="30" t="n">
        <v>0.005</v>
      </c>
      <c r="G12" s="30" t="n">
        <v>0.005</v>
      </c>
      <c r="I12" s="30" t="n">
        <v>0.0075</v>
      </c>
      <c r="J12" s="30" t="n">
        <v>0.0075</v>
      </c>
      <c r="K12" s="30" t="n">
        <v>0.0075</v>
      </c>
      <c r="L12" s="30" t="n">
        <v>0.0075</v>
      </c>
      <c r="M12" s="30" t="n">
        <v>0.0075</v>
      </c>
      <c r="O12" s="30" t="n">
        <v>0.01</v>
      </c>
      <c r="P12" s="30" t="n">
        <v>0.01</v>
      </c>
      <c r="Q12" s="30" t="n">
        <v>0.01</v>
      </c>
      <c r="R12" s="30" t="n">
        <v>0.01</v>
      </c>
      <c r="S12" s="30" t="n">
        <v>0.01</v>
      </c>
    </row>
    <row r="13" customFormat="false" ht="15" hidden="false" customHeight="false" outlineLevel="0" collapsed="false">
      <c r="A13" s="8" t="s">
        <v>70</v>
      </c>
      <c r="B13" s="27" t="s">
        <v>69</v>
      </c>
      <c r="C13" s="30" t="n">
        <v>0.1</v>
      </c>
      <c r="D13" s="30" t="n">
        <v>0.15</v>
      </c>
      <c r="E13" s="30" t="n">
        <v>0.2</v>
      </c>
      <c r="F13" s="30" t="n">
        <v>0.25</v>
      </c>
      <c r="G13" s="30" t="n">
        <v>0.3</v>
      </c>
      <c r="I13" s="30" t="n">
        <v>0.2</v>
      </c>
      <c r="J13" s="30" t="n">
        <v>0.3</v>
      </c>
      <c r="K13" s="30" t="n">
        <v>0.4</v>
      </c>
      <c r="L13" s="30" t="n">
        <v>0.5</v>
      </c>
      <c r="M13" s="30" t="n">
        <v>0.6</v>
      </c>
      <c r="O13" s="30" t="n">
        <v>0.4</v>
      </c>
      <c r="P13" s="30" t="n">
        <v>0.6</v>
      </c>
      <c r="Q13" s="30" t="n">
        <v>0.8</v>
      </c>
      <c r="R13" s="30" t="n">
        <v>1</v>
      </c>
      <c r="S13" s="30" t="n">
        <v>1.2</v>
      </c>
    </row>
    <row r="14" customFormat="false" ht="15" hidden="false" customHeight="false" outlineLevel="0" collapsed="false">
      <c r="A14" s="8" t="s">
        <v>71</v>
      </c>
      <c r="B14" s="27" t="s">
        <v>72</v>
      </c>
      <c r="C14" s="30" t="n">
        <v>0.001</v>
      </c>
      <c r="D14" s="30" t="n">
        <v>0.001</v>
      </c>
      <c r="E14" s="30" t="n">
        <v>0.001</v>
      </c>
      <c r="F14" s="30" t="n">
        <v>0.001</v>
      </c>
      <c r="G14" s="30" t="n">
        <v>0.001</v>
      </c>
      <c r="I14" s="30" t="n">
        <v>0.0025</v>
      </c>
      <c r="J14" s="30" t="n">
        <v>0.0025</v>
      </c>
      <c r="K14" s="30" t="n">
        <v>0.0025</v>
      </c>
      <c r="L14" s="30" t="n">
        <v>0.0025</v>
      </c>
      <c r="M14" s="30" t="n">
        <v>0.0025</v>
      </c>
      <c r="O14" s="30" t="n">
        <v>0.005</v>
      </c>
      <c r="P14" s="30" t="n">
        <v>0.005</v>
      </c>
      <c r="Q14" s="30" t="n">
        <v>0.005</v>
      </c>
      <c r="R14" s="30" t="n">
        <v>0.005</v>
      </c>
      <c r="S14" s="30" t="n">
        <v>0.005</v>
      </c>
    </row>
    <row r="15" customFormat="false" ht="15" hidden="false" customHeight="false" outlineLevel="0" collapsed="false">
      <c r="A15" s="25" t="s">
        <v>73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</row>
    <row r="16" customFormat="false" ht="15" hidden="false" customHeight="false" outlineLevel="0" collapsed="false">
      <c r="A16" s="8" t="s">
        <v>74</v>
      </c>
      <c r="B16" s="27" t="s">
        <v>60</v>
      </c>
      <c r="C16" s="28" t="n">
        <v>3</v>
      </c>
      <c r="D16" s="28" t="n">
        <v>8</v>
      </c>
      <c r="E16" s="28" t="n">
        <v>18</v>
      </c>
      <c r="F16" s="28" t="n">
        <v>35</v>
      </c>
      <c r="G16" s="28" t="n">
        <v>60</v>
      </c>
      <c r="I16" s="28" t="n">
        <v>20</v>
      </c>
      <c r="J16" s="28" t="n">
        <v>40</v>
      </c>
      <c r="K16" s="28" t="n">
        <v>80</v>
      </c>
      <c r="L16" s="28" t="n">
        <v>160</v>
      </c>
      <c r="M16" s="28" t="n">
        <v>320</v>
      </c>
      <c r="O16" s="28" t="n">
        <v>50</v>
      </c>
      <c r="P16" s="28" t="n">
        <v>125</v>
      </c>
      <c r="Q16" s="28" t="n">
        <v>300</v>
      </c>
      <c r="R16" s="28" t="n">
        <v>700</v>
      </c>
      <c r="S16" s="28" t="n">
        <v>1500</v>
      </c>
    </row>
    <row r="17" customFormat="false" ht="15" hidden="false" customHeight="false" outlineLevel="0" collapsed="false">
      <c r="A17" s="8" t="s">
        <v>75</v>
      </c>
      <c r="B17" s="27" t="s">
        <v>76</v>
      </c>
      <c r="C17" s="29" t="n">
        <v>500</v>
      </c>
      <c r="D17" s="29" t="n">
        <v>500</v>
      </c>
      <c r="E17" s="29" t="n">
        <v>600</v>
      </c>
      <c r="F17" s="29" t="n">
        <v>700</v>
      </c>
      <c r="G17" s="29" t="n">
        <v>800</v>
      </c>
      <c r="I17" s="29" t="n">
        <v>1500</v>
      </c>
      <c r="J17" s="29" t="n">
        <v>1500</v>
      </c>
      <c r="K17" s="29" t="n">
        <v>1750</v>
      </c>
      <c r="L17" s="29" t="n">
        <v>2000</v>
      </c>
      <c r="M17" s="29" t="n">
        <v>2250</v>
      </c>
      <c r="O17" s="29" t="n">
        <v>3000</v>
      </c>
      <c r="P17" s="29" t="n">
        <v>3000</v>
      </c>
      <c r="Q17" s="29" t="n">
        <v>3500</v>
      </c>
      <c r="R17" s="29" t="n">
        <v>4000</v>
      </c>
      <c r="S17" s="29" t="n">
        <v>4500</v>
      </c>
    </row>
    <row r="18" customFormat="false" ht="15" hidden="false" customHeight="false" outlineLevel="0" collapsed="false">
      <c r="A18" s="25" t="s">
        <v>77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</row>
    <row r="19" customFormat="false" ht="15" hidden="false" customHeight="false" outlineLevel="0" collapsed="false">
      <c r="A19" s="8" t="s">
        <v>78</v>
      </c>
      <c r="B19" s="27" t="s">
        <v>79</v>
      </c>
      <c r="C19" s="28" t="n">
        <v>3</v>
      </c>
      <c r="D19" s="28" t="n">
        <v>5</v>
      </c>
      <c r="E19" s="28" t="n">
        <v>8</v>
      </c>
      <c r="F19" s="28" t="n">
        <v>12</v>
      </c>
      <c r="G19" s="28" t="n">
        <v>17</v>
      </c>
      <c r="I19" s="28" t="n">
        <v>4</v>
      </c>
      <c r="J19" s="28" t="n">
        <v>8</v>
      </c>
      <c r="K19" s="28" t="n">
        <v>14</v>
      </c>
      <c r="L19" s="28" t="n">
        <v>22</v>
      </c>
      <c r="M19" s="28" t="n">
        <v>32</v>
      </c>
      <c r="O19" s="28" t="n">
        <v>6</v>
      </c>
      <c r="P19" s="28" t="n">
        <v>14</v>
      </c>
      <c r="Q19" s="28" t="n">
        <v>28</v>
      </c>
      <c r="R19" s="28" t="n">
        <v>48</v>
      </c>
      <c r="S19" s="28" t="n">
        <v>75</v>
      </c>
    </row>
    <row r="20" customFormat="false" ht="15" hidden="false" customHeight="false" outlineLevel="0" collapsed="false">
      <c r="A20" s="8" t="s">
        <v>80</v>
      </c>
      <c r="B20" s="27" t="s">
        <v>81</v>
      </c>
      <c r="C20" s="29" t="n">
        <v>160000</v>
      </c>
      <c r="D20" s="29" t="n">
        <v>165000</v>
      </c>
      <c r="E20" s="29" t="n">
        <v>170000</v>
      </c>
      <c r="F20" s="29" t="n">
        <v>175000</v>
      </c>
      <c r="G20" s="29" t="n">
        <v>180000</v>
      </c>
      <c r="I20" s="29" t="n">
        <v>180000</v>
      </c>
      <c r="J20" s="29" t="n">
        <v>185000</v>
      </c>
      <c r="K20" s="29" t="n">
        <v>190000</v>
      </c>
      <c r="L20" s="29" t="n">
        <v>195000</v>
      </c>
      <c r="M20" s="29" t="n">
        <v>200000</v>
      </c>
      <c r="O20" s="29" t="n">
        <v>200000</v>
      </c>
      <c r="P20" s="29" t="n">
        <v>210000</v>
      </c>
      <c r="Q20" s="29" t="n">
        <v>220000</v>
      </c>
      <c r="R20" s="29" t="n">
        <v>230000</v>
      </c>
      <c r="S20" s="29" t="n">
        <v>240000</v>
      </c>
    </row>
    <row r="21" customFormat="false" ht="15" hidden="false" customHeight="false" outlineLevel="0" collapsed="false">
      <c r="A21" s="8" t="s">
        <v>82</v>
      </c>
      <c r="B21" s="27" t="s">
        <v>81</v>
      </c>
      <c r="C21" s="29" t="n">
        <v>120000</v>
      </c>
      <c r="D21" s="29" t="n">
        <v>150000</v>
      </c>
      <c r="E21" s="29" t="n">
        <v>195000</v>
      </c>
      <c r="F21" s="29" t="n">
        <v>253000</v>
      </c>
      <c r="G21" s="29" t="n">
        <v>330000</v>
      </c>
      <c r="I21" s="29" t="n">
        <v>150000</v>
      </c>
      <c r="J21" s="29" t="n">
        <v>210000</v>
      </c>
      <c r="K21" s="29" t="n">
        <v>294000</v>
      </c>
      <c r="L21" s="29" t="n">
        <v>412000</v>
      </c>
      <c r="M21" s="29" t="n">
        <v>576000</v>
      </c>
      <c r="O21" s="29" t="n">
        <v>200000</v>
      </c>
      <c r="P21" s="29" t="n">
        <v>320000</v>
      </c>
      <c r="Q21" s="29" t="n">
        <v>512000</v>
      </c>
      <c r="R21" s="29" t="n">
        <v>820000</v>
      </c>
      <c r="S21" s="29" t="n">
        <v>1312000</v>
      </c>
    </row>
    <row r="22" customFormat="false" ht="15" hidden="false" customHeight="false" outlineLevel="0" collapsed="false">
      <c r="A22" s="8" t="s">
        <v>83</v>
      </c>
      <c r="B22" s="27" t="s">
        <v>84</v>
      </c>
      <c r="C22" s="30" t="n">
        <v>0.12</v>
      </c>
      <c r="D22" s="30" t="n">
        <v>0.12</v>
      </c>
      <c r="E22" s="30" t="n">
        <v>0.12</v>
      </c>
      <c r="F22" s="30" t="n">
        <v>0.12</v>
      </c>
      <c r="G22" s="30" t="n">
        <v>0.12</v>
      </c>
      <c r="I22" s="30" t="n">
        <v>0.15</v>
      </c>
      <c r="J22" s="30" t="n">
        <v>0.15</v>
      </c>
      <c r="K22" s="30" t="n">
        <v>0.15</v>
      </c>
      <c r="L22" s="30" t="n">
        <v>0.15</v>
      </c>
      <c r="M22" s="30" t="n">
        <v>0.15</v>
      </c>
      <c r="O22" s="30" t="n">
        <v>0.18</v>
      </c>
      <c r="P22" s="30" t="n">
        <v>0.18</v>
      </c>
      <c r="Q22" s="30" t="n">
        <v>0.18</v>
      </c>
      <c r="R22" s="30" t="n">
        <v>0.18</v>
      </c>
      <c r="S22" s="30" t="n">
        <v>0.18</v>
      </c>
    </row>
  </sheetData>
  <mergeCells count="3">
    <mergeCell ref="C4:G4"/>
    <mergeCell ref="I4:M4"/>
    <mergeCell ref="O4:S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7" min="3" style="0" width="15"/>
  </cols>
  <sheetData>
    <row r="1" customFormat="false" ht="27.75" hidden="false" customHeight="true" outlineLevel="0" collapsed="false">
      <c r="A1" s="22" t="s">
        <v>85</v>
      </c>
    </row>
    <row r="2" customFormat="false" ht="15" hidden="false" customHeight="false" outlineLevel="0" collapsed="false">
      <c r="A2" s="23" t="s">
        <v>86</v>
      </c>
    </row>
    <row r="4" customFormat="false" ht="15" hidden="false" customHeight="false" outlineLevel="0" collapsed="false">
      <c r="A4" s="13" t="s">
        <v>87</v>
      </c>
      <c r="B4" s="13" t="s">
        <v>57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</row>
    <row r="6" customFormat="false" ht="15" hidden="false" customHeight="false" outlineLevel="0" collapsed="false">
      <c r="A6" s="31" t="s">
        <v>88</v>
      </c>
      <c r="B6" s="31"/>
      <c r="C6" s="31"/>
      <c r="D6" s="31"/>
      <c r="E6" s="31"/>
      <c r="F6" s="31"/>
      <c r="G6" s="31"/>
    </row>
    <row r="7" customFormat="false" ht="15" hidden="false" customHeight="false" outlineLevel="0" collapsed="false">
      <c r="A7" s="8" t="s">
        <v>59</v>
      </c>
      <c r="B7" s="32" t="s">
        <v>60</v>
      </c>
      <c r="C7" s="33" t="n">
        <f aca="false">Assumptions!C7</f>
        <v>15</v>
      </c>
      <c r="D7" s="33" t="n">
        <f aca="false">Assumptions!D7</f>
        <v>45</v>
      </c>
      <c r="E7" s="33" t="n">
        <f aca="false">Assumptions!E7</f>
        <v>110</v>
      </c>
      <c r="F7" s="33" t="n">
        <f aca="false">Assumptions!F7</f>
        <v>220</v>
      </c>
      <c r="G7" s="33" t="n">
        <f aca="false">Assumptions!G7</f>
        <v>350</v>
      </c>
    </row>
    <row r="8" customFormat="false" ht="15" hidden="false" customHeight="false" outlineLevel="0" collapsed="false">
      <c r="A8" s="8" t="s">
        <v>53</v>
      </c>
      <c r="B8" s="32" t="s">
        <v>60</v>
      </c>
      <c r="C8" s="34" t="n">
        <f aca="false">C7</f>
        <v>15</v>
      </c>
      <c r="D8" s="34" t="n">
        <f aca="false">C8+D7</f>
        <v>60</v>
      </c>
      <c r="E8" s="34" t="n">
        <f aca="false">D8+E7</f>
        <v>170</v>
      </c>
      <c r="F8" s="34" t="n">
        <f aca="false">E8+F7</f>
        <v>390</v>
      </c>
      <c r="G8" s="34" t="n">
        <f aca="false">F8+G7</f>
        <v>740</v>
      </c>
    </row>
    <row r="9" customFormat="false" ht="15" hidden="false" customHeight="false" outlineLevel="0" collapsed="false">
      <c r="A9" s="8" t="s">
        <v>61</v>
      </c>
      <c r="B9" s="32" t="s">
        <v>62</v>
      </c>
      <c r="C9" s="16" t="n">
        <f aca="false">Assumptions!C8</f>
        <v>20000</v>
      </c>
      <c r="D9" s="16" t="n">
        <f aca="false">Assumptions!D8</f>
        <v>24000</v>
      </c>
      <c r="E9" s="16" t="n">
        <f aca="false">Assumptions!E8</f>
        <v>28800</v>
      </c>
      <c r="F9" s="16" t="n">
        <f aca="false">Assumptions!F8</f>
        <v>34560</v>
      </c>
      <c r="G9" s="16" t="n">
        <f aca="false">Assumptions!G8</f>
        <v>41472</v>
      </c>
    </row>
    <row r="10" customFormat="false" ht="15" hidden="false" customHeight="false" outlineLevel="0" collapsed="false">
      <c r="A10" s="8" t="s">
        <v>89</v>
      </c>
      <c r="B10" s="32" t="s">
        <v>62</v>
      </c>
      <c r="C10" s="35" t="n">
        <f aca="false">C7*C9</f>
        <v>300000</v>
      </c>
      <c r="D10" s="35" t="n">
        <f aca="false">D7*D9</f>
        <v>1080000</v>
      </c>
      <c r="E10" s="35" t="n">
        <f aca="false">E7*E9</f>
        <v>3168000</v>
      </c>
      <c r="F10" s="35" t="n">
        <f aca="false">F7*F9</f>
        <v>7603200</v>
      </c>
      <c r="G10" s="35" t="n">
        <f aca="false">G7*G9</f>
        <v>14515200</v>
      </c>
    </row>
    <row r="11" customFormat="false" ht="15" hidden="false" customHeight="false" outlineLevel="0" collapsed="false">
      <c r="A11" s="8" t="s">
        <v>63</v>
      </c>
      <c r="B11" s="32" t="s">
        <v>90</v>
      </c>
      <c r="C11" s="36" t="n">
        <f aca="false">Assumptions!C9</f>
        <v>0.15</v>
      </c>
      <c r="D11" s="36" t="n">
        <f aca="false">Assumptions!D9</f>
        <v>0.15</v>
      </c>
      <c r="E11" s="36" t="n">
        <f aca="false">Assumptions!E9</f>
        <v>0.15</v>
      </c>
      <c r="F11" s="36" t="n">
        <f aca="false">Assumptions!F9</f>
        <v>0.15</v>
      </c>
      <c r="G11" s="36" t="n">
        <f aca="false">Assumptions!G9</f>
        <v>0.15</v>
      </c>
    </row>
    <row r="12" customFormat="false" ht="15" hidden="false" customHeight="false" outlineLevel="0" collapsed="false">
      <c r="A12" s="8" t="s">
        <v>91</v>
      </c>
      <c r="B12" s="32" t="s">
        <v>62</v>
      </c>
      <c r="C12" s="35" t="n">
        <f aca="false">0</f>
        <v>0</v>
      </c>
      <c r="D12" s="35" t="n">
        <f aca="false">C13</f>
        <v>300000</v>
      </c>
      <c r="E12" s="35" t="n">
        <f aca="false">D13</f>
        <v>1335000</v>
      </c>
      <c r="F12" s="35" t="n">
        <f aca="false">E13</f>
        <v>4302750</v>
      </c>
      <c r="G12" s="35" t="n">
        <f aca="false">F13</f>
        <v>11260537.5</v>
      </c>
    </row>
    <row r="13" customFormat="false" ht="15" hidden="false" customHeight="false" outlineLevel="0" collapsed="false">
      <c r="A13" s="4" t="s">
        <v>92</v>
      </c>
      <c r="B13" s="32" t="s">
        <v>62</v>
      </c>
      <c r="C13" s="17" t="n">
        <f aca="false">C12*(1-C11)+C10</f>
        <v>300000</v>
      </c>
      <c r="D13" s="17" t="n">
        <f aca="false">D12*(1-D11)+D10</f>
        <v>1335000</v>
      </c>
      <c r="E13" s="17" t="n">
        <f aca="false">E12*(1-E11)+E10</f>
        <v>4302750</v>
      </c>
      <c r="F13" s="17" t="n">
        <f aca="false">F12*(1-F11)+F10</f>
        <v>11260537.5</v>
      </c>
      <c r="G13" s="17" t="n">
        <f aca="false">G12*(1-G11)+G10</f>
        <v>24086656.875</v>
      </c>
    </row>
    <row r="14" customFormat="false" ht="15" hidden="false" customHeight="false" outlineLevel="0" collapsed="false">
      <c r="A14" s="8" t="s">
        <v>93</v>
      </c>
      <c r="B14" s="32" t="s">
        <v>62</v>
      </c>
      <c r="C14" s="35" t="n">
        <f aca="false">AVERAGE(C12,C13)</f>
        <v>150000</v>
      </c>
      <c r="D14" s="35" t="n">
        <f aca="false">AVERAGE(D12,D13)</f>
        <v>817500</v>
      </c>
      <c r="E14" s="35" t="n">
        <f aca="false">AVERAGE(E12,E13)</f>
        <v>2818875</v>
      </c>
      <c r="F14" s="35" t="n">
        <f aca="false">AVERAGE(F12,F13)</f>
        <v>7781643.75</v>
      </c>
      <c r="G14" s="35" t="n">
        <f aca="false">AVERAGE(G12,G13)</f>
        <v>17673597.1875</v>
      </c>
    </row>
    <row r="16" customFormat="false" ht="15" hidden="false" customHeight="false" outlineLevel="0" collapsed="false">
      <c r="A16" s="4" t="s">
        <v>94</v>
      </c>
      <c r="B16" s="32" t="s">
        <v>62</v>
      </c>
      <c r="C16" s="35" t="n">
        <f aca="false">C10*Assumptions!C11</f>
        <v>4500</v>
      </c>
      <c r="D16" s="35" t="n">
        <f aca="false">D10*Assumptions!D11</f>
        <v>16200</v>
      </c>
      <c r="E16" s="35" t="n">
        <f aca="false">E10*Assumptions!E11</f>
        <v>47520</v>
      </c>
      <c r="F16" s="35" t="n">
        <f aca="false">F10*Assumptions!F11</f>
        <v>114048</v>
      </c>
      <c r="G16" s="35" t="n">
        <f aca="false">G10*Assumptions!G11</f>
        <v>217728</v>
      </c>
    </row>
    <row r="17" customFormat="false" ht="15" hidden="false" customHeight="false" outlineLevel="0" collapsed="false">
      <c r="A17" s="4" t="s">
        <v>95</v>
      </c>
      <c r="B17" s="32" t="s">
        <v>62</v>
      </c>
      <c r="C17" s="35" t="n">
        <f aca="false">C14*Assumptions!C12</f>
        <v>750</v>
      </c>
      <c r="D17" s="35" t="n">
        <f aca="false">D14*Assumptions!D12</f>
        <v>4087.5</v>
      </c>
      <c r="E17" s="35" t="n">
        <f aca="false">E14*Assumptions!E12</f>
        <v>14094.375</v>
      </c>
      <c r="F17" s="35" t="n">
        <f aca="false">F14*Assumptions!F12</f>
        <v>38908.21875</v>
      </c>
      <c r="G17" s="35" t="n">
        <f aca="false">G14*Assumptions!G12</f>
        <v>88367.9859375</v>
      </c>
    </row>
    <row r="18" customFormat="false" ht="15" hidden="false" customHeight="false" outlineLevel="0" collapsed="false">
      <c r="A18" s="4" t="s">
        <v>96</v>
      </c>
      <c r="B18" s="32" t="s">
        <v>62</v>
      </c>
      <c r="C18" s="35" t="n">
        <f aca="false">C14*Assumptions!C13*Assumptions!C14</f>
        <v>15</v>
      </c>
      <c r="D18" s="35" t="n">
        <f aca="false">D14*Assumptions!D13*Assumptions!D14</f>
        <v>122.625</v>
      </c>
      <c r="E18" s="35" t="n">
        <f aca="false">E14*Assumptions!E13*Assumptions!E14</f>
        <v>563.775</v>
      </c>
      <c r="F18" s="35" t="n">
        <f aca="false">F14*Assumptions!F13*Assumptions!F14</f>
        <v>1945.4109375</v>
      </c>
      <c r="G18" s="35" t="n">
        <f aca="false">G14*Assumptions!G13*Assumptions!G14</f>
        <v>5302.07915625</v>
      </c>
    </row>
    <row r="19" customFormat="false" ht="15" hidden="false" customHeight="false" outlineLevel="0" collapsed="false">
      <c r="A19" s="4" t="s">
        <v>97</v>
      </c>
      <c r="B19" s="32" t="s">
        <v>62</v>
      </c>
      <c r="C19" s="35" t="n">
        <f aca="false">Assumptions!C16*Assumptions!C17*12</f>
        <v>18000</v>
      </c>
      <c r="D19" s="35" t="n">
        <f aca="false">Assumptions!D16*Assumptions!D17*12</f>
        <v>48000</v>
      </c>
      <c r="E19" s="35" t="n">
        <f aca="false">Assumptions!E16*Assumptions!E17*12</f>
        <v>129600</v>
      </c>
      <c r="F19" s="35" t="n">
        <f aca="false">Assumptions!F16*Assumptions!F17*12</f>
        <v>294000</v>
      </c>
      <c r="G19" s="35" t="n">
        <f aca="false">Assumptions!G16*Assumptions!G17*12</f>
        <v>576000</v>
      </c>
    </row>
    <row r="20" customFormat="false" ht="15" hidden="false" customHeight="false" outlineLevel="0" collapsed="false">
      <c r="A20" s="37" t="s">
        <v>98</v>
      </c>
      <c r="B20" s="38" t="s">
        <v>62</v>
      </c>
      <c r="C20" s="39" t="n">
        <f aca="false">SUM(C16:C19)</f>
        <v>23265</v>
      </c>
      <c r="D20" s="39" t="n">
        <f aca="false">SUM(D16:D19)</f>
        <v>68410.125</v>
      </c>
      <c r="E20" s="39" t="n">
        <f aca="false">SUM(E16:E19)</f>
        <v>191778.15</v>
      </c>
      <c r="F20" s="39" t="n">
        <f aca="false">SUM(F16:F19)</f>
        <v>448901.6296875</v>
      </c>
      <c r="G20" s="39" t="n">
        <f aca="false">SUM(G16:G19)</f>
        <v>887398.06509375</v>
      </c>
    </row>
    <row r="22" customFormat="false" ht="15" hidden="false" customHeight="false" outlineLevel="0" collapsed="false">
      <c r="A22" s="31" t="s">
        <v>99</v>
      </c>
      <c r="B22" s="31"/>
      <c r="C22" s="31"/>
      <c r="D22" s="31"/>
      <c r="E22" s="31"/>
      <c r="F22" s="31"/>
      <c r="G22" s="31"/>
    </row>
    <row r="23" customFormat="false" ht="15" hidden="false" customHeight="false" outlineLevel="0" collapsed="false">
      <c r="A23" s="8" t="s">
        <v>59</v>
      </c>
      <c r="B23" s="32" t="s">
        <v>60</v>
      </c>
      <c r="C23" s="33" t="n">
        <f aca="false">Assumptions!I7</f>
        <v>50</v>
      </c>
      <c r="D23" s="33" t="n">
        <f aca="false">Assumptions!J7</f>
        <v>150</v>
      </c>
      <c r="E23" s="33" t="n">
        <f aca="false">Assumptions!K7</f>
        <v>375</v>
      </c>
      <c r="F23" s="33" t="n">
        <f aca="false">Assumptions!L7</f>
        <v>750</v>
      </c>
      <c r="G23" s="33" t="n">
        <f aca="false">Assumptions!M7</f>
        <v>1313</v>
      </c>
    </row>
    <row r="24" customFormat="false" ht="15" hidden="false" customHeight="false" outlineLevel="0" collapsed="false">
      <c r="A24" s="8" t="s">
        <v>53</v>
      </c>
      <c r="B24" s="32" t="s">
        <v>60</v>
      </c>
      <c r="C24" s="34" t="n">
        <f aca="false">C23</f>
        <v>50</v>
      </c>
      <c r="D24" s="34" t="n">
        <f aca="false">C24+D23</f>
        <v>200</v>
      </c>
      <c r="E24" s="34" t="n">
        <f aca="false">D24+E23</f>
        <v>575</v>
      </c>
      <c r="F24" s="34" t="n">
        <f aca="false">E24+F23</f>
        <v>1325</v>
      </c>
      <c r="G24" s="34" t="n">
        <f aca="false">F24+G23</f>
        <v>2638</v>
      </c>
    </row>
    <row r="25" customFormat="false" ht="15" hidden="false" customHeight="false" outlineLevel="0" collapsed="false">
      <c r="A25" s="8" t="s">
        <v>61</v>
      </c>
      <c r="B25" s="32" t="s">
        <v>62</v>
      </c>
      <c r="C25" s="16" t="n">
        <f aca="false">Assumptions!I8</f>
        <v>50000</v>
      </c>
      <c r="D25" s="16" t="n">
        <f aca="false">Assumptions!J8</f>
        <v>57500</v>
      </c>
      <c r="E25" s="16" t="n">
        <f aca="false">Assumptions!K8</f>
        <v>66125</v>
      </c>
      <c r="F25" s="16" t="n">
        <f aca="false">Assumptions!L8</f>
        <v>76044</v>
      </c>
      <c r="G25" s="16" t="n">
        <f aca="false">Assumptions!M8</f>
        <v>87451</v>
      </c>
    </row>
    <row r="26" customFormat="false" ht="15" hidden="false" customHeight="false" outlineLevel="0" collapsed="false">
      <c r="A26" s="8" t="s">
        <v>89</v>
      </c>
      <c r="B26" s="32" t="s">
        <v>62</v>
      </c>
      <c r="C26" s="35" t="n">
        <f aca="false">C23*C25</f>
        <v>2500000</v>
      </c>
      <c r="D26" s="35" t="n">
        <f aca="false">D23*D25</f>
        <v>8625000</v>
      </c>
      <c r="E26" s="35" t="n">
        <f aca="false">E23*E25</f>
        <v>24796875</v>
      </c>
      <c r="F26" s="35" t="n">
        <f aca="false">F23*F25</f>
        <v>57033000</v>
      </c>
      <c r="G26" s="35" t="n">
        <f aca="false">G23*G25</f>
        <v>114823163</v>
      </c>
    </row>
    <row r="27" customFormat="false" ht="15" hidden="false" customHeight="false" outlineLevel="0" collapsed="false">
      <c r="A27" s="8" t="s">
        <v>63</v>
      </c>
      <c r="B27" s="32" t="s">
        <v>90</v>
      </c>
      <c r="C27" s="36" t="n">
        <f aca="false">Assumptions!I9</f>
        <v>0.1</v>
      </c>
      <c r="D27" s="36" t="n">
        <f aca="false">Assumptions!J9</f>
        <v>0.1</v>
      </c>
      <c r="E27" s="36" t="n">
        <f aca="false">Assumptions!K9</f>
        <v>0.1</v>
      </c>
      <c r="F27" s="36" t="n">
        <f aca="false">Assumptions!L9</f>
        <v>0.1</v>
      </c>
      <c r="G27" s="36" t="n">
        <f aca="false">Assumptions!M9</f>
        <v>0.1</v>
      </c>
    </row>
    <row r="28" customFormat="false" ht="15" hidden="false" customHeight="false" outlineLevel="0" collapsed="false">
      <c r="A28" s="8" t="s">
        <v>91</v>
      </c>
      <c r="B28" s="32" t="s">
        <v>62</v>
      </c>
      <c r="C28" s="35" t="n">
        <f aca="false">0</f>
        <v>0</v>
      </c>
      <c r="D28" s="35" t="n">
        <f aca="false">C29</f>
        <v>2500000</v>
      </c>
      <c r="E28" s="35" t="n">
        <f aca="false">D29</f>
        <v>10875000</v>
      </c>
      <c r="F28" s="35" t="n">
        <f aca="false">E29</f>
        <v>34584375</v>
      </c>
      <c r="G28" s="35" t="n">
        <f aca="false">F29</f>
        <v>88158937.5</v>
      </c>
    </row>
    <row r="29" customFormat="false" ht="15" hidden="false" customHeight="false" outlineLevel="0" collapsed="false">
      <c r="A29" s="4" t="s">
        <v>92</v>
      </c>
      <c r="B29" s="32" t="s">
        <v>62</v>
      </c>
      <c r="C29" s="17" t="n">
        <f aca="false">C28*(1-C27)+C26</f>
        <v>2500000</v>
      </c>
      <c r="D29" s="17" t="n">
        <f aca="false">D28*(1-D27)+D26</f>
        <v>10875000</v>
      </c>
      <c r="E29" s="17" t="n">
        <f aca="false">E28*(1-E27)+E26</f>
        <v>34584375</v>
      </c>
      <c r="F29" s="17" t="n">
        <f aca="false">F28*(1-F27)+F26</f>
        <v>88158937.5</v>
      </c>
      <c r="G29" s="17" t="n">
        <f aca="false">G28*(1-G27)+G26</f>
        <v>194166206.75</v>
      </c>
    </row>
    <row r="30" customFormat="false" ht="15" hidden="false" customHeight="false" outlineLevel="0" collapsed="false">
      <c r="A30" s="8" t="s">
        <v>93</v>
      </c>
      <c r="B30" s="32" t="s">
        <v>62</v>
      </c>
      <c r="C30" s="35" t="n">
        <f aca="false">AVERAGE(C28,C29)</f>
        <v>1250000</v>
      </c>
      <c r="D30" s="35" t="n">
        <f aca="false">AVERAGE(D28,D29)</f>
        <v>6687500</v>
      </c>
      <c r="E30" s="35" t="n">
        <f aca="false">AVERAGE(E28,E29)</f>
        <v>22729687.5</v>
      </c>
      <c r="F30" s="35" t="n">
        <f aca="false">AVERAGE(F28,F29)</f>
        <v>61371656.25</v>
      </c>
      <c r="G30" s="35" t="n">
        <f aca="false">AVERAGE(G28,G29)</f>
        <v>141162572.125</v>
      </c>
    </row>
    <row r="32" customFormat="false" ht="15" hidden="false" customHeight="false" outlineLevel="0" collapsed="false">
      <c r="A32" s="4" t="s">
        <v>94</v>
      </c>
      <c r="B32" s="32" t="s">
        <v>62</v>
      </c>
      <c r="C32" s="35" t="n">
        <f aca="false">C26*Assumptions!I11</f>
        <v>62500</v>
      </c>
      <c r="D32" s="35" t="n">
        <f aca="false">D26*Assumptions!J11</f>
        <v>215625</v>
      </c>
      <c r="E32" s="35" t="n">
        <f aca="false">E26*Assumptions!K11</f>
        <v>619921.875</v>
      </c>
      <c r="F32" s="35" t="n">
        <f aca="false">F26*Assumptions!L11</f>
        <v>1425825</v>
      </c>
      <c r="G32" s="35" t="n">
        <f aca="false">G26*Assumptions!M11</f>
        <v>2870579.075</v>
      </c>
    </row>
    <row r="33" customFormat="false" ht="15" hidden="false" customHeight="false" outlineLevel="0" collapsed="false">
      <c r="A33" s="4" t="s">
        <v>95</v>
      </c>
      <c r="B33" s="32" t="s">
        <v>62</v>
      </c>
      <c r="C33" s="35" t="n">
        <f aca="false">C30*Assumptions!I12</f>
        <v>9375</v>
      </c>
      <c r="D33" s="35" t="n">
        <f aca="false">D30*Assumptions!J12</f>
        <v>50156.25</v>
      </c>
      <c r="E33" s="35" t="n">
        <f aca="false">E30*Assumptions!K12</f>
        <v>170472.65625</v>
      </c>
      <c r="F33" s="35" t="n">
        <f aca="false">F30*Assumptions!L12</f>
        <v>460287.421875</v>
      </c>
      <c r="G33" s="35" t="n">
        <f aca="false">G30*Assumptions!M12</f>
        <v>1058719.2909375</v>
      </c>
    </row>
    <row r="34" customFormat="false" ht="15" hidden="false" customHeight="false" outlineLevel="0" collapsed="false">
      <c r="A34" s="4" t="s">
        <v>96</v>
      </c>
      <c r="B34" s="32" t="s">
        <v>62</v>
      </c>
      <c r="C34" s="35" t="n">
        <f aca="false">C30*Assumptions!I13*Assumptions!I14</f>
        <v>625</v>
      </c>
      <c r="D34" s="35" t="n">
        <f aca="false">D30*Assumptions!J13*Assumptions!J14</f>
        <v>5015.625</v>
      </c>
      <c r="E34" s="35" t="n">
        <f aca="false">E30*Assumptions!K13*Assumptions!K14</f>
        <v>22729.6875</v>
      </c>
      <c r="F34" s="35" t="n">
        <f aca="false">F30*Assumptions!L13*Assumptions!L14</f>
        <v>76714.5703125</v>
      </c>
      <c r="G34" s="35" t="n">
        <f aca="false">G30*Assumptions!M13*Assumptions!M14</f>
        <v>211743.8581875</v>
      </c>
    </row>
    <row r="35" customFormat="false" ht="15" hidden="false" customHeight="false" outlineLevel="0" collapsed="false">
      <c r="A35" s="4" t="s">
        <v>97</v>
      </c>
      <c r="B35" s="32" t="s">
        <v>62</v>
      </c>
      <c r="C35" s="35" t="n">
        <f aca="false">Assumptions!I16*Assumptions!I17*12</f>
        <v>360000</v>
      </c>
      <c r="D35" s="35" t="n">
        <f aca="false">Assumptions!J16*Assumptions!J17*12</f>
        <v>720000</v>
      </c>
      <c r="E35" s="35" t="n">
        <f aca="false">Assumptions!K16*Assumptions!K17*12</f>
        <v>1680000</v>
      </c>
      <c r="F35" s="35" t="n">
        <f aca="false">Assumptions!L16*Assumptions!L17*12</f>
        <v>3840000</v>
      </c>
      <c r="G35" s="35" t="n">
        <f aca="false">Assumptions!M16*Assumptions!M17*12</f>
        <v>8640000</v>
      </c>
    </row>
    <row r="36" customFormat="false" ht="15" hidden="false" customHeight="false" outlineLevel="0" collapsed="false">
      <c r="A36" s="37" t="s">
        <v>98</v>
      </c>
      <c r="B36" s="38" t="s">
        <v>62</v>
      </c>
      <c r="C36" s="39" t="n">
        <f aca="false">SUM(C32:C35)</f>
        <v>432500</v>
      </c>
      <c r="D36" s="39" t="n">
        <f aca="false">SUM(D32:D35)</f>
        <v>990796.875</v>
      </c>
      <c r="E36" s="39" t="n">
        <f aca="false">SUM(E32:E35)</f>
        <v>2493124.21875</v>
      </c>
      <c r="F36" s="39" t="n">
        <f aca="false">SUM(F32:F35)</f>
        <v>5802826.9921875</v>
      </c>
      <c r="G36" s="39" t="n">
        <f aca="false">SUM(G32:G35)</f>
        <v>12781042.224125</v>
      </c>
    </row>
    <row r="38" customFormat="false" ht="15" hidden="false" customHeight="false" outlineLevel="0" collapsed="false">
      <c r="A38" s="31" t="s">
        <v>100</v>
      </c>
      <c r="B38" s="31"/>
      <c r="C38" s="31"/>
      <c r="D38" s="31"/>
      <c r="E38" s="31"/>
      <c r="F38" s="31"/>
      <c r="G38" s="31"/>
    </row>
    <row r="39" customFormat="false" ht="15" hidden="false" customHeight="false" outlineLevel="0" collapsed="false">
      <c r="A39" s="8" t="s">
        <v>59</v>
      </c>
      <c r="B39" s="32" t="s">
        <v>60</v>
      </c>
      <c r="C39" s="33" t="n">
        <f aca="false">Assumptions!O7</f>
        <v>120</v>
      </c>
      <c r="D39" s="33" t="n">
        <f aca="false">Assumptions!P7</f>
        <v>420</v>
      </c>
      <c r="E39" s="33" t="n">
        <f aca="false">Assumptions!Q7</f>
        <v>1260</v>
      </c>
      <c r="F39" s="33" t="n">
        <f aca="false">Assumptions!R7</f>
        <v>3150</v>
      </c>
      <c r="G39" s="33" t="n">
        <f aca="false">Assumptions!S7</f>
        <v>6300</v>
      </c>
    </row>
    <row r="40" customFormat="false" ht="15" hidden="false" customHeight="false" outlineLevel="0" collapsed="false">
      <c r="A40" s="8" t="s">
        <v>53</v>
      </c>
      <c r="B40" s="32" t="s">
        <v>60</v>
      </c>
      <c r="C40" s="34" t="n">
        <f aca="false">C39</f>
        <v>120</v>
      </c>
      <c r="D40" s="34" t="n">
        <f aca="false">C40+D39</f>
        <v>540</v>
      </c>
      <c r="E40" s="34" t="n">
        <f aca="false">D40+E39</f>
        <v>1800</v>
      </c>
      <c r="F40" s="34" t="n">
        <f aca="false">E40+F39</f>
        <v>4950</v>
      </c>
      <c r="G40" s="34" t="n">
        <f aca="false">F40+G39</f>
        <v>11250</v>
      </c>
    </row>
    <row r="41" customFormat="false" ht="15" hidden="false" customHeight="false" outlineLevel="0" collapsed="false">
      <c r="A41" s="8" t="s">
        <v>61</v>
      </c>
      <c r="B41" s="32" t="s">
        <v>62</v>
      </c>
      <c r="C41" s="16" t="n">
        <f aca="false">Assumptions!O8</f>
        <v>80000</v>
      </c>
      <c r="D41" s="16" t="n">
        <f aca="false">Assumptions!P8</f>
        <v>96000</v>
      </c>
      <c r="E41" s="16" t="n">
        <f aca="false">Assumptions!Q8</f>
        <v>115200</v>
      </c>
      <c r="F41" s="16" t="n">
        <f aca="false">Assumptions!R8</f>
        <v>138240</v>
      </c>
      <c r="G41" s="16" t="n">
        <f aca="false">Assumptions!S8</f>
        <v>165888</v>
      </c>
    </row>
    <row r="42" customFormat="false" ht="15" hidden="false" customHeight="false" outlineLevel="0" collapsed="false">
      <c r="A42" s="8" t="s">
        <v>89</v>
      </c>
      <c r="B42" s="32" t="s">
        <v>62</v>
      </c>
      <c r="C42" s="35" t="n">
        <f aca="false">C39*C41</f>
        <v>9600000</v>
      </c>
      <c r="D42" s="35" t="n">
        <f aca="false">D39*D41</f>
        <v>40320000</v>
      </c>
      <c r="E42" s="35" t="n">
        <f aca="false">E39*E41</f>
        <v>145152000</v>
      </c>
      <c r="F42" s="35" t="n">
        <f aca="false">F39*F41</f>
        <v>435456000</v>
      </c>
      <c r="G42" s="35" t="n">
        <f aca="false">G39*G41</f>
        <v>1045094400</v>
      </c>
    </row>
    <row r="43" customFormat="false" ht="15" hidden="false" customHeight="false" outlineLevel="0" collapsed="false">
      <c r="A43" s="8" t="s">
        <v>63</v>
      </c>
      <c r="B43" s="32" t="s">
        <v>90</v>
      </c>
      <c r="C43" s="36" t="n">
        <f aca="false">Assumptions!O9</f>
        <v>0.08</v>
      </c>
      <c r="D43" s="36" t="n">
        <f aca="false">Assumptions!P9</f>
        <v>0.08</v>
      </c>
      <c r="E43" s="36" t="n">
        <f aca="false">Assumptions!Q9</f>
        <v>0.08</v>
      </c>
      <c r="F43" s="36" t="n">
        <f aca="false">Assumptions!R9</f>
        <v>0.08</v>
      </c>
      <c r="G43" s="36" t="n">
        <f aca="false">Assumptions!S9</f>
        <v>0.08</v>
      </c>
    </row>
    <row r="44" customFormat="false" ht="15" hidden="false" customHeight="false" outlineLevel="0" collapsed="false">
      <c r="A44" s="8" t="s">
        <v>91</v>
      </c>
      <c r="B44" s="32" t="s">
        <v>62</v>
      </c>
      <c r="C44" s="35" t="n">
        <f aca="false">0</f>
        <v>0</v>
      </c>
      <c r="D44" s="35" t="n">
        <f aca="false">C45</f>
        <v>9600000</v>
      </c>
      <c r="E44" s="35" t="n">
        <f aca="false">D45</f>
        <v>49152000</v>
      </c>
      <c r="F44" s="35" t="n">
        <f aca="false">E45</f>
        <v>190371840</v>
      </c>
      <c r="G44" s="35" t="n">
        <f aca="false">F45</f>
        <v>610598092.8</v>
      </c>
    </row>
    <row r="45" customFormat="false" ht="15" hidden="false" customHeight="false" outlineLevel="0" collapsed="false">
      <c r="A45" s="4" t="s">
        <v>92</v>
      </c>
      <c r="B45" s="32" t="s">
        <v>62</v>
      </c>
      <c r="C45" s="17" t="n">
        <f aca="false">C44*(1-C43)+C42</f>
        <v>9600000</v>
      </c>
      <c r="D45" s="17" t="n">
        <f aca="false">D44*(1-D43)+D42</f>
        <v>49152000</v>
      </c>
      <c r="E45" s="17" t="n">
        <f aca="false">E44*(1-E43)+E42</f>
        <v>190371840</v>
      </c>
      <c r="F45" s="17" t="n">
        <f aca="false">F44*(1-F43)+F42</f>
        <v>610598092.8</v>
      </c>
      <c r="G45" s="17" t="n">
        <f aca="false">G44*(1-G43)+G42</f>
        <v>1606844645.376</v>
      </c>
    </row>
    <row r="46" customFormat="false" ht="15" hidden="false" customHeight="false" outlineLevel="0" collapsed="false">
      <c r="A46" s="8" t="s">
        <v>93</v>
      </c>
      <c r="B46" s="32" t="s">
        <v>62</v>
      </c>
      <c r="C46" s="35" t="n">
        <f aca="false">AVERAGE(C44,C45)</f>
        <v>4800000</v>
      </c>
      <c r="D46" s="35" t="n">
        <f aca="false">AVERAGE(D44,D45)</f>
        <v>29376000</v>
      </c>
      <c r="E46" s="35" t="n">
        <f aca="false">AVERAGE(E44,E45)</f>
        <v>119761920</v>
      </c>
      <c r="F46" s="35" t="n">
        <f aca="false">AVERAGE(F44,F45)</f>
        <v>400484966.4</v>
      </c>
      <c r="G46" s="35" t="n">
        <f aca="false">AVERAGE(G44,G45)</f>
        <v>1108721369.088</v>
      </c>
    </row>
    <row r="48" customFormat="false" ht="15" hidden="false" customHeight="false" outlineLevel="0" collapsed="false">
      <c r="A48" s="4" t="s">
        <v>94</v>
      </c>
      <c r="B48" s="32" t="s">
        <v>62</v>
      </c>
      <c r="C48" s="35" t="n">
        <f aca="false">C42*Assumptions!O11</f>
        <v>288000</v>
      </c>
      <c r="D48" s="35" t="n">
        <f aca="false">D42*Assumptions!P11</f>
        <v>1209600</v>
      </c>
      <c r="E48" s="35" t="n">
        <f aca="false">E42*Assumptions!Q11</f>
        <v>4354560</v>
      </c>
      <c r="F48" s="35" t="n">
        <f aca="false">F42*Assumptions!R11</f>
        <v>13063680</v>
      </c>
      <c r="G48" s="35" t="n">
        <f aca="false">G42*Assumptions!S11</f>
        <v>31352832</v>
      </c>
    </row>
    <row r="49" customFormat="false" ht="15" hidden="false" customHeight="false" outlineLevel="0" collapsed="false">
      <c r="A49" s="4" t="s">
        <v>95</v>
      </c>
      <c r="B49" s="32" t="s">
        <v>62</v>
      </c>
      <c r="C49" s="35" t="n">
        <f aca="false">C46*Assumptions!O12</f>
        <v>48000</v>
      </c>
      <c r="D49" s="35" t="n">
        <f aca="false">D46*Assumptions!P12</f>
        <v>293760</v>
      </c>
      <c r="E49" s="35" t="n">
        <f aca="false">E46*Assumptions!Q12</f>
        <v>1197619.2</v>
      </c>
      <c r="F49" s="35" t="n">
        <f aca="false">F46*Assumptions!R12</f>
        <v>4004849.664</v>
      </c>
      <c r="G49" s="35" t="n">
        <f aca="false">G46*Assumptions!S12</f>
        <v>11087213.69088</v>
      </c>
    </row>
    <row r="50" customFormat="false" ht="15" hidden="false" customHeight="false" outlineLevel="0" collapsed="false">
      <c r="A50" s="4" t="s">
        <v>96</v>
      </c>
      <c r="B50" s="32" t="s">
        <v>62</v>
      </c>
      <c r="C50" s="35" t="n">
        <f aca="false">C46*Assumptions!O13*Assumptions!O14</f>
        <v>9600</v>
      </c>
      <c r="D50" s="35" t="n">
        <f aca="false">D46*Assumptions!P13*Assumptions!P14</f>
        <v>88128</v>
      </c>
      <c r="E50" s="35" t="n">
        <f aca="false">E46*Assumptions!Q13*Assumptions!Q14</f>
        <v>479047.68</v>
      </c>
      <c r="F50" s="35" t="n">
        <f aca="false">F46*Assumptions!R13*Assumptions!R14</f>
        <v>2002424.832</v>
      </c>
      <c r="G50" s="35" t="n">
        <f aca="false">G46*Assumptions!S13*Assumptions!S14</f>
        <v>6652328.214528</v>
      </c>
    </row>
    <row r="51" customFormat="false" ht="15" hidden="false" customHeight="false" outlineLevel="0" collapsed="false">
      <c r="A51" s="4" t="s">
        <v>97</v>
      </c>
      <c r="B51" s="32" t="s">
        <v>62</v>
      </c>
      <c r="C51" s="35" t="n">
        <f aca="false">Assumptions!O16*Assumptions!O17*12</f>
        <v>1800000</v>
      </c>
      <c r="D51" s="35" t="n">
        <f aca="false">Assumptions!P16*Assumptions!P17*12</f>
        <v>4500000</v>
      </c>
      <c r="E51" s="35" t="n">
        <f aca="false">Assumptions!Q16*Assumptions!Q17*12</f>
        <v>12600000</v>
      </c>
      <c r="F51" s="35" t="n">
        <f aca="false">Assumptions!R16*Assumptions!R17*12</f>
        <v>33600000</v>
      </c>
      <c r="G51" s="35" t="n">
        <f aca="false">Assumptions!S16*Assumptions!S17*12</f>
        <v>81000000</v>
      </c>
    </row>
    <row r="52" customFormat="false" ht="15" hidden="false" customHeight="false" outlineLevel="0" collapsed="false">
      <c r="A52" s="37" t="s">
        <v>98</v>
      </c>
      <c r="B52" s="38" t="s">
        <v>62</v>
      </c>
      <c r="C52" s="39" t="n">
        <f aca="false">SUM(C48:C51)</f>
        <v>2145600</v>
      </c>
      <c r="D52" s="39" t="n">
        <f aca="false">SUM(D48:D51)</f>
        <v>6091488</v>
      </c>
      <c r="E52" s="39" t="n">
        <f aca="false">SUM(E48:E51)</f>
        <v>18631226.88</v>
      </c>
      <c r="F52" s="39" t="n">
        <f aca="false">SUM(F48:F51)</f>
        <v>52670954.496</v>
      </c>
      <c r="G52" s="39" t="n">
        <f aca="false">SUM(G48:G51)</f>
        <v>130092373.905408</v>
      </c>
    </row>
  </sheetData>
  <mergeCells count="3">
    <mergeCell ref="A6:G6"/>
    <mergeCell ref="A22:G22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7" min="3" style="0" width="15"/>
  </cols>
  <sheetData>
    <row r="1" customFormat="false" ht="27.75" hidden="false" customHeight="true" outlineLevel="0" collapsed="false">
      <c r="A1" s="22" t="s">
        <v>101</v>
      </c>
    </row>
    <row r="2" customFormat="false" ht="15" hidden="false" customHeight="false" outlineLevel="0" collapsed="false">
      <c r="A2" s="23" t="s">
        <v>102</v>
      </c>
    </row>
    <row r="4" customFormat="false" ht="15" hidden="false" customHeight="false" outlineLevel="0" collapsed="false">
      <c r="A4" s="13" t="s">
        <v>87</v>
      </c>
      <c r="B4" s="13" t="s">
        <v>57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</row>
    <row r="6" customFormat="false" ht="15" hidden="false" customHeight="false" outlineLevel="0" collapsed="false">
      <c r="A6" s="31" t="s">
        <v>88</v>
      </c>
      <c r="B6" s="31"/>
      <c r="C6" s="31"/>
      <c r="D6" s="31"/>
      <c r="E6" s="31"/>
      <c r="F6" s="31"/>
      <c r="G6" s="31"/>
    </row>
    <row r="7" customFormat="false" ht="15" hidden="false" customHeight="false" outlineLevel="0" collapsed="false">
      <c r="A7" s="8" t="s">
        <v>78</v>
      </c>
      <c r="B7" s="32" t="s">
        <v>79</v>
      </c>
      <c r="C7" s="33" t="n">
        <f aca="false">Assumptions!C19</f>
        <v>3</v>
      </c>
      <c r="D7" s="33" t="n">
        <f aca="false">Assumptions!D19</f>
        <v>5</v>
      </c>
      <c r="E7" s="33" t="n">
        <f aca="false">Assumptions!E19</f>
        <v>8</v>
      </c>
      <c r="F7" s="33" t="n">
        <f aca="false">Assumptions!F19</f>
        <v>12</v>
      </c>
      <c r="G7" s="33" t="n">
        <f aca="false">Assumptions!G19</f>
        <v>17</v>
      </c>
    </row>
    <row r="8" customFormat="false" ht="15" hidden="false" customHeight="false" outlineLevel="0" collapsed="false">
      <c r="A8" s="8" t="s">
        <v>80</v>
      </c>
      <c r="B8" s="32" t="s">
        <v>81</v>
      </c>
      <c r="C8" s="16" t="n">
        <f aca="false">Assumptions!C20</f>
        <v>160000</v>
      </c>
      <c r="D8" s="16" t="n">
        <f aca="false">Assumptions!D20</f>
        <v>165000</v>
      </c>
      <c r="E8" s="16" t="n">
        <f aca="false">Assumptions!E20</f>
        <v>170000</v>
      </c>
      <c r="F8" s="16" t="n">
        <f aca="false">Assumptions!F20</f>
        <v>175000</v>
      </c>
      <c r="G8" s="16" t="n">
        <f aca="false">Assumptions!G20</f>
        <v>180000</v>
      </c>
    </row>
    <row r="9" customFormat="false" ht="15" hidden="false" customHeight="false" outlineLevel="0" collapsed="false">
      <c r="A9" s="4" t="s">
        <v>103</v>
      </c>
      <c r="B9" s="32" t="s">
        <v>62</v>
      </c>
      <c r="C9" s="35" t="n">
        <f aca="false">C7*C8</f>
        <v>480000</v>
      </c>
      <c r="D9" s="35" t="n">
        <f aca="false">D7*D8</f>
        <v>825000</v>
      </c>
      <c r="E9" s="35" t="n">
        <f aca="false">E7*E8</f>
        <v>1360000</v>
      </c>
      <c r="F9" s="35" t="n">
        <f aca="false">F7*F8</f>
        <v>2100000</v>
      </c>
      <c r="G9" s="35" t="n">
        <f aca="false">G7*G8</f>
        <v>3060000</v>
      </c>
    </row>
    <row r="10" customFormat="false" ht="15" hidden="false" customHeight="false" outlineLevel="0" collapsed="false">
      <c r="A10" s="4" t="s">
        <v>82</v>
      </c>
      <c r="B10" s="32" t="s">
        <v>62</v>
      </c>
      <c r="C10" s="16" t="n">
        <f aca="false">Assumptions!C21</f>
        <v>120000</v>
      </c>
      <c r="D10" s="16" t="n">
        <f aca="false">Assumptions!D21</f>
        <v>150000</v>
      </c>
      <c r="E10" s="16" t="n">
        <f aca="false">Assumptions!E21</f>
        <v>195000</v>
      </c>
      <c r="F10" s="16" t="n">
        <f aca="false">Assumptions!F21</f>
        <v>253000</v>
      </c>
      <c r="G10" s="16" t="n">
        <f aca="false">Assumptions!G21</f>
        <v>330000</v>
      </c>
    </row>
    <row r="11" customFormat="false" ht="15" hidden="false" customHeight="false" outlineLevel="0" collapsed="false">
      <c r="A11" s="4" t="s">
        <v>83</v>
      </c>
      <c r="B11" s="32" t="s">
        <v>62</v>
      </c>
      <c r="C11" s="16" t="n">
        <f aca="false">Revenue!C20*Assumptions!C22</f>
        <v>2791.8</v>
      </c>
      <c r="D11" s="16" t="n">
        <f aca="false">Revenue!D20*Assumptions!D22</f>
        <v>8209.215</v>
      </c>
      <c r="E11" s="16" t="n">
        <f aca="false">Revenue!E20*Assumptions!E22</f>
        <v>23013.378</v>
      </c>
      <c r="F11" s="16" t="n">
        <f aca="false">Revenue!F20*Assumptions!F22</f>
        <v>53868.1955625</v>
      </c>
      <c r="G11" s="16" t="n">
        <f aca="false">Revenue!G20*Assumptions!G22</f>
        <v>106487.76781125</v>
      </c>
    </row>
    <row r="12" customFormat="false" ht="15" hidden="false" customHeight="false" outlineLevel="0" collapsed="false">
      <c r="A12" s="38" t="s">
        <v>104</v>
      </c>
      <c r="B12" s="38" t="s">
        <v>62</v>
      </c>
      <c r="C12" s="39" t="n">
        <f aca="false">C9+C10+C11</f>
        <v>602791.8</v>
      </c>
      <c r="D12" s="39" t="n">
        <f aca="false">D9+D10+D11</f>
        <v>983209.215</v>
      </c>
      <c r="E12" s="39" t="n">
        <f aca="false">E9+E10+E11</f>
        <v>1578013.378</v>
      </c>
      <c r="F12" s="39" t="n">
        <f aca="false">F9+F10+F11</f>
        <v>2406868.1955625</v>
      </c>
      <c r="G12" s="39" t="n">
        <f aca="false">G9+G10+G11</f>
        <v>3496487.76781125</v>
      </c>
    </row>
    <row r="14" customFormat="false" ht="15" hidden="false" customHeight="false" outlineLevel="0" collapsed="false">
      <c r="A14" s="31" t="s">
        <v>99</v>
      </c>
      <c r="B14" s="31"/>
      <c r="C14" s="31"/>
      <c r="D14" s="31"/>
      <c r="E14" s="31"/>
      <c r="F14" s="31"/>
      <c r="G14" s="31"/>
    </row>
    <row r="15" customFormat="false" ht="15" hidden="false" customHeight="false" outlineLevel="0" collapsed="false">
      <c r="A15" s="8" t="s">
        <v>78</v>
      </c>
      <c r="B15" s="32" t="s">
        <v>79</v>
      </c>
      <c r="C15" s="33" t="n">
        <f aca="false">Assumptions!I19</f>
        <v>4</v>
      </c>
      <c r="D15" s="33" t="n">
        <f aca="false">Assumptions!J19</f>
        <v>8</v>
      </c>
      <c r="E15" s="33" t="n">
        <f aca="false">Assumptions!K19</f>
        <v>14</v>
      </c>
      <c r="F15" s="33" t="n">
        <f aca="false">Assumptions!L19</f>
        <v>22</v>
      </c>
      <c r="G15" s="33" t="n">
        <f aca="false">Assumptions!M19</f>
        <v>32</v>
      </c>
    </row>
    <row r="16" customFormat="false" ht="15" hidden="false" customHeight="false" outlineLevel="0" collapsed="false">
      <c r="A16" s="8" t="s">
        <v>80</v>
      </c>
      <c r="B16" s="32" t="s">
        <v>81</v>
      </c>
      <c r="C16" s="16" t="n">
        <f aca="false">Assumptions!I20</f>
        <v>180000</v>
      </c>
      <c r="D16" s="16" t="n">
        <f aca="false">Assumptions!J20</f>
        <v>185000</v>
      </c>
      <c r="E16" s="16" t="n">
        <f aca="false">Assumptions!K20</f>
        <v>190000</v>
      </c>
      <c r="F16" s="16" t="n">
        <f aca="false">Assumptions!L20</f>
        <v>195000</v>
      </c>
      <c r="G16" s="16" t="n">
        <f aca="false">Assumptions!M20</f>
        <v>200000</v>
      </c>
    </row>
    <row r="17" customFormat="false" ht="15" hidden="false" customHeight="false" outlineLevel="0" collapsed="false">
      <c r="A17" s="4" t="s">
        <v>103</v>
      </c>
      <c r="B17" s="32" t="s">
        <v>62</v>
      </c>
      <c r="C17" s="35" t="n">
        <f aca="false">C15*C16</f>
        <v>720000</v>
      </c>
      <c r="D17" s="35" t="n">
        <f aca="false">D15*D16</f>
        <v>1480000</v>
      </c>
      <c r="E17" s="35" t="n">
        <f aca="false">E15*E16</f>
        <v>2660000</v>
      </c>
      <c r="F17" s="35" t="n">
        <f aca="false">F15*F16</f>
        <v>4290000</v>
      </c>
      <c r="G17" s="35" t="n">
        <f aca="false">G15*G16</f>
        <v>6400000</v>
      </c>
    </row>
    <row r="18" customFormat="false" ht="15" hidden="false" customHeight="false" outlineLevel="0" collapsed="false">
      <c r="A18" s="4" t="s">
        <v>82</v>
      </c>
      <c r="B18" s="32" t="s">
        <v>62</v>
      </c>
      <c r="C18" s="16" t="n">
        <f aca="false">Assumptions!I21</f>
        <v>150000</v>
      </c>
      <c r="D18" s="16" t="n">
        <f aca="false">Assumptions!J21</f>
        <v>210000</v>
      </c>
      <c r="E18" s="16" t="n">
        <f aca="false">Assumptions!K21</f>
        <v>294000</v>
      </c>
      <c r="F18" s="16" t="n">
        <f aca="false">Assumptions!L21</f>
        <v>412000</v>
      </c>
      <c r="G18" s="16" t="n">
        <f aca="false">Assumptions!M21</f>
        <v>576000</v>
      </c>
    </row>
    <row r="19" customFormat="false" ht="15" hidden="false" customHeight="false" outlineLevel="0" collapsed="false">
      <c r="A19" s="4" t="s">
        <v>83</v>
      </c>
      <c r="B19" s="32" t="s">
        <v>62</v>
      </c>
      <c r="C19" s="16" t="n">
        <f aca="false">Revenue!C36*Assumptions!I22</f>
        <v>64875</v>
      </c>
      <c r="D19" s="16" t="n">
        <f aca="false">Revenue!D36*Assumptions!J22</f>
        <v>148619.53125</v>
      </c>
      <c r="E19" s="16" t="n">
        <f aca="false">Revenue!E36*Assumptions!K22</f>
        <v>373968.6328125</v>
      </c>
      <c r="F19" s="16" t="n">
        <f aca="false">Revenue!F36*Assumptions!L22</f>
        <v>870424.048828125</v>
      </c>
      <c r="G19" s="16" t="n">
        <f aca="false">Revenue!G36*Assumptions!M22</f>
        <v>1917156.33361875</v>
      </c>
    </row>
    <row r="20" customFormat="false" ht="15" hidden="false" customHeight="false" outlineLevel="0" collapsed="false">
      <c r="A20" s="38" t="s">
        <v>104</v>
      </c>
      <c r="B20" s="38" t="s">
        <v>62</v>
      </c>
      <c r="C20" s="39" t="n">
        <f aca="false">C17+C18+C19</f>
        <v>934875</v>
      </c>
      <c r="D20" s="39" t="n">
        <f aca="false">D17+D18+D19</f>
        <v>1838619.53125</v>
      </c>
      <c r="E20" s="39" t="n">
        <f aca="false">E17+E18+E19</f>
        <v>3327968.6328125</v>
      </c>
      <c r="F20" s="39" t="n">
        <f aca="false">F17+F18+F19</f>
        <v>5572424.04882813</v>
      </c>
      <c r="G20" s="39" t="n">
        <f aca="false">G17+G18+G19</f>
        <v>8893156.33361875</v>
      </c>
    </row>
    <row r="22" customFormat="false" ht="15" hidden="false" customHeight="false" outlineLevel="0" collapsed="false">
      <c r="A22" s="31" t="s">
        <v>100</v>
      </c>
      <c r="B22" s="31"/>
      <c r="C22" s="31"/>
      <c r="D22" s="31"/>
      <c r="E22" s="31"/>
      <c r="F22" s="31"/>
      <c r="G22" s="31"/>
    </row>
    <row r="23" customFormat="false" ht="15" hidden="false" customHeight="false" outlineLevel="0" collapsed="false">
      <c r="A23" s="8" t="s">
        <v>78</v>
      </c>
      <c r="B23" s="32" t="s">
        <v>79</v>
      </c>
      <c r="C23" s="33" t="n">
        <f aca="false">Assumptions!O19</f>
        <v>6</v>
      </c>
      <c r="D23" s="33" t="n">
        <f aca="false">Assumptions!P19</f>
        <v>14</v>
      </c>
      <c r="E23" s="33" t="n">
        <f aca="false">Assumptions!Q19</f>
        <v>28</v>
      </c>
      <c r="F23" s="33" t="n">
        <f aca="false">Assumptions!R19</f>
        <v>48</v>
      </c>
      <c r="G23" s="33" t="n">
        <f aca="false">Assumptions!S19</f>
        <v>75</v>
      </c>
    </row>
    <row r="24" customFormat="false" ht="15" hidden="false" customHeight="false" outlineLevel="0" collapsed="false">
      <c r="A24" s="8" t="s">
        <v>80</v>
      </c>
      <c r="B24" s="32" t="s">
        <v>81</v>
      </c>
      <c r="C24" s="16" t="n">
        <f aca="false">Assumptions!O20</f>
        <v>200000</v>
      </c>
      <c r="D24" s="16" t="n">
        <f aca="false">Assumptions!P20</f>
        <v>210000</v>
      </c>
      <c r="E24" s="16" t="n">
        <f aca="false">Assumptions!Q20</f>
        <v>220000</v>
      </c>
      <c r="F24" s="16" t="n">
        <f aca="false">Assumptions!R20</f>
        <v>230000</v>
      </c>
      <c r="G24" s="16" t="n">
        <f aca="false">Assumptions!S20</f>
        <v>240000</v>
      </c>
    </row>
    <row r="25" customFormat="false" ht="15" hidden="false" customHeight="false" outlineLevel="0" collapsed="false">
      <c r="A25" s="4" t="s">
        <v>103</v>
      </c>
      <c r="B25" s="32" t="s">
        <v>62</v>
      </c>
      <c r="C25" s="35" t="n">
        <f aca="false">C23*C24</f>
        <v>1200000</v>
      </c>
      <c r="D25" s="35" t="n">
        <f aca="false">D23*D24</f>
        <v>2940000</v>
      </c>
      <c r="E25" s="35" t="n">
        <f aca="false">E23*E24</f>
        <v>6160000</v>
      </c>
      <c r="F25" s="35" t="n">
        <f aca="false">F23*F24</f>
        <v>11040000</v>
      </c>
      <c r="G25" s="35" t="n">
        <f aca="false">G23*G24</f>
        <v>18000000</v>
      </c>
    </row>
    <row r="26" customFormat="false" ht="15" hidden="false" customHeight="false" outlineLevel="0" collapsed="false">
      <c r="A26" s="4" t="s">
        <v>82</v>
      </c>
      <c r="B26" s="32" t="s">
        <v>62</v>
      </c>
      <c r="C26" s="16" t="n">
        <f aca="false">Assumptions!O21</f>
        <v>200000</v>
      </c>
      <c r="D26" s="16" t="n">
        <f aca="false">Assumptions!P21</f>
        <v>320000</v>
      </c>
      <c r="E26" s="16" t="n">
        <f aca="false">Assumptions!Q21</f>
        <v>512000</v>
      </c>
      <c r="F26" s="16" t="n">
        <f aca="false">Assumptions!R21</f>
        <v>820000</v>
      </c>
      <c r="G26" s="16" t="n">
        <f aca="false">Assumptions!S21</f>
        <v>1312000</v>
      </c>
    </row>
    <row r="27" customFormat="false" ht="15" hidden="false" customHeight="false" outlineLevel="0" collapsed="false">
      <c r="A27" s="4" t="s">
        <v>83</v>
      </c>
      <c r="B27" s="32" t="s">
        <v>62</v>
      </c>
      <c r="C27" s="16" t="n">
        <f aca="false">Revenue!C52*Assumptions!O22</f>
        <v>386208</v>
      </c>
      <c r="D27" s="16" t="n">
        <f aca="false">Revenue!D52*Assumptions!P22</f>
        <v>1096467.84</v>
      </c>
      <c r="E27" s="16" t="n">
        <f aca="false">Revenue!E52*Assumptions!Q22</f>
        <v>3353620.8384</v>
      </c>
      <c r="F27" s="16" t="n">
        <f aca="false">Revenue!F52*Assumptions!R22</f>
        <v>9480771.80928</v>
      </c>
      <c r="G27" s="16" t="n">
        <f aca="false">Revenue!G52*Assumptions!S22</f>
        <v>23416627.3029734</v>
      </c>
    </row>
    <row r="28" customFormat="false" ht="15" hidden="false" customHeight="false" outlineLevel="0" collapsed="false">
      <c r="A28" s="38" t="s">
        <v>104</v>
      </c>
      <c r="B28" s="38" t="s">
        <v>62</v>
      </c>
      <c r="C28" s="39" t="n">
        <f aca="false">C25+C26+C27</f>
        <v>1786208</v>
      </c>
      <c r="D28" s="39" t="n">
        <f aca="false">D25+D26+D27</f>
        <v>4356467.84</v>
      </c>
      <c r="E28" s="39" t="n">
        <f aca="false">E25+E26+E27</f>
        <v>10025620.8384</v>
      </c>
      <c r="F28" s="39" t="n">
        <f aca="false">F25+F26+F27</f>
        <v>21340771.80928</v>
      </c>
      <c r="G28" s="39" t="n">
        <f aca="false">G25+G26+G27</f>
        <v>42728627.3029734</v>
      </c>
    </row>
  </sheetData>
  <mergeCells count="3">
    <mergeCell ref="A6:G6"/>
    <mergeCell ref="A14:G14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7" min="3" style="0" width="15"/>
  </cols>
  <sheetData>
    <row r="1" customFormat="false" ht="27.75" hidden="false" customHeight="true" outlineLevel="0" collapsed="false">
      <c r="A1" s="22" t="s">
        <v>105</v>
      </c>
    </row>
    <row r="2" customFormat="false" ht="15" hidden="false" customHeight="false" outlineLevel="0" collapsed="false">
      <c r="A2" s="23" t="s">
        <v>106</v>
      </c>
    </row>
    <row r="4" customFormat="false" ht="15" hidden="false" customHeight="false" outlineLevel="0" collapsed="false">
      <c r="A4" s="13" t="s">
        <v>87</v>
      </c>
      <c r="B4" s="13" t="s">
        <v>57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</row>
    <row r="6" customFormat="false" ht="15" hidden="false" customHeight="false" outlineLevel="0" collapsed="false">
      <c r="A6" s="31" t="s">
        <v>88</v>
      </c>
      <c r="B6" s="31"/>
      <c r="C6" s="31"/>
      <c r="D6" s="31"/>
      <c r="E6" s="31"/>
      <c r="F6" s="31"/>
      <c r="G6" s="31"/>
    </row>
    <row r="7" customFormat="false" ht="15" hidden="false" customHeight="false" outlineLevel="0" collapsed="false">
      <c r="A7" s="4" t="s">
        <v>7</v>
      </c>
      <c r="B7" s="32" t="s">
        <v>62</v>
      </c>
      <c r="C7" s="16" t="n">
        <f aca="false">Revenue!C20</f>
        <v>23265</v>
      </c>
      <c r="D7" s="16" t="n">
        <f aca="false">Revenue!D20</f>
        <v>68410.125</v>
      </c>
      <c r="E7" s="16" t="n">
        <f aca="false">Revenue!E20</f>
        <v>191778.15</v>
      </c>
      <c r="F7" s="16" t="n">
        <f aca="false">Revenue!F20</f>
        <v>448901.6296875</v>
      </c>
      <c r="G7" s="16" t="n">
        <f aca="false">Revenue!G20</f>
        <v>887398.06509375</v>
      </c>
    </row>
    <row r="8" customFormat="false" ht="15" hidden="false" customHeight="false" outlineLevel="0" collapsed="false">
      <c r="A8" s="8" t="s">
        <v>107</v>
      </c>
      <c r="B8" s="32" t="s">
        <v>62</v>
      </c>
      <c r="C8" s="16" t="n">
        <f aca="false">-Costs!C12</f>
        <v>-602791.8</v>
      </c>
      <c r="D8" s="16" t="n">
        <f aca="false">-Costs!D12</f>
        <v>-983209.215</v>
      </c>
      <c r="E8" s="16" t="n">
        <f aca="false">-Costs!E12</f>
        <v>-1578013.378</v>
      </c>
      <c r="F8" s="16" t="n">
        <f aca="false">-Costs!F12</f>
        <v>-2406868.1955625</v>
      </c>
      <c r="G8" s="16" t="n">
        <f aca="false">-Costs!G12</f>
        <v>-3496487.76781125</v>
      </c>
    </row>
    <row r="9" customFormat="false" ht="15" hidden="false" customHeight="false" outlineLevel="0" collapsed="false">
      <c r="A9" s="37" t="s">
        <v>51</v>
      </c>
      <c r="B9" s="38" t="s">
        <v>62</v>
      </c>
      <c r="C9" s="39" t="n">
        <f aca="false">C7+C8</f>
        <v>-579526.8</v>
      </c>
      <c r="D9" s="39" t="n">
        <f aca="false">D7+D8</f>
        <v>-914799.09</v>
      </c>
      <c r="E9" s="39" t="n">
        <f aca="false">E7+E8</f>
        <v>-1386235.228</v>
      </c>
      <c r="F9" s="39" t="n">
        <f aca="false">F7+F8</f>
        <v>-1957966.565875</v>
      </c>
      <c r="G9" s="39" t="n">
        <f aca="false">G7+G8</f>
        <v>-2609089.7027175</v>
      </c>
    </row>
    <row r="10" customFormat="false" ht="15" hidden="false" customHeight="false" outlineLevel="0" collapsed="false">
      <c r="A10" s="8" t="s">
        <v>108</v>
      </c>
      <c r="B10" s="32" t="s">
        <v>90</v>
      </c>
      <c r="C10" s="40" t="n">
        <f aca="false">IF(C7=0,0,C9/C7)</f>
        <v>-24.9098130238556</v>
      </c>
      <c r="D10" s="40" t="n">
        <f aca="false">IF(D7=0,0,D9/D7)</f>
        <v>-13.3722762529669</v>
      </c>
      <c r="E10" s="40" t="n">
        <f aca="false">IF(E7=0,0,E9/E7)</f>
        <v>-7.2283272520879</v>
      </c>
      <c r="F10" s="40" t="n">
        <f aca="false">IF(F7=0,0,F9/F7)</f>
        <v>-4.36168290865423</v>
      </c>
      <c r="G10" s="40" t="n">
        <f aca="false">IF(G7=0,0,G9/G7)</f>
        <v>-2.94015707870837</v>
      </c>
    </row>
    <row r="11" customFormat="false" ht="15" hidden="false" customHeight="false" outlineLevel="0" collapsed="false">
      <c r="A11" s="8" t="s">
        <v>109</v>
      </c>
      <c r="B11" s="32" t="s">
        <v>62</v>
      </c>
      <c r="C11" s="35" t="n">
        <f aca="false">C9</f>
        <v>-579526.8</v>
      </c>
      <c r="D11" s="35" t="n">
        <f aca="false">C11+D9</f>
        <v>-1494325.89</v>
      </c>
      <c r="E11" s="35" t="n">
        <f aca="false">D11+E9</f>
        <v>-2880561.118</v>
      </c>
      <c r="F11" s="35" t="n">
        <f aca="false">E11+F9</f>
        <v>-4838527.683875</v>
      </c>
      <c r="G11" s="35" t="n">
        <f aca="false">F11+G9</f>
        <v>-7447617.3865925</v>
      </c>
    </row>
    <row r="13" customFormat="false" ht="15" hidden="false" customHeight="false" outlineLevel="0" collapsed="false">
      <c r="A13" s="31" t="s">
        <v>99</v>
      </c>
      <c r="B13" s="31"/>
      <c r="C13" s="31"/>
      <c r="D13" s="31"/>
      <c r="E13" s="31"/>
      <c r="F13" s="31"/>
      <c r="G13" s="31"/>
    </row>
    <row r="14" customFormat="false" ht="15" hidden="false" customHeight="false" outlineLevel="0" collapsed="false">
      <c r="A14" s="4" t="s">
        <v>7</v>
      </c>
      <c r="B14" s="32" t="s">
        <v>62</v>
      </c>
      <c r="C14" s="16" t="n">
        <f aca="false">Revenue!C36</f>
        <v>432500</v>
      </c>
      <c r="D14" s="16" t="n">
        <f aca="false">Revenue!D36</f>
        <v>990796.875</v>
      </c>
      <c r="E14" s="16" t="n">
        <f aca="false">Revenue!E36</f>
        <v>2493124.21875</v>
      </c>
      <c r="F14" s="16" t="n">
        <f aca="false">Revenue!F36</f>
        <v>5802826.9921875</v>
      </c>
      <c r="G14" s="16" t="n">
        <f aca="false">Revenue!G36</f>
        <v>12781042.224125</v>
      </c>
    </row>
    <row r="15" customFormat="false" ht="15" hidden="false" customHeight="false" outlineLevel="0" collapsed="false">
      <c r="A15" s="8" t="s">
        <v>107</v>
      </c>
      <c r="B15" s="32" t="s">
        <v>62</v>
      </c>
      <c r="C15" s="16" t="n">
        <f aca="false">-Costs!C20</f>
        <v>-934875</v>
      </c>
      <c r="D15" s="16" t="n">
        <f aca="false">-Costs!D20</f>
        <v>-1838619.53125</v>
      </c>
      <c r="E15" s="16" t="n">
        <f aca="false">-Costs!E20</f>
        <v>-3327968.6328125</v>
      </c>
      <c r="F15" s="16" t="n">
        <f aca="false">-Costs!F20</f>
        <v>-5572424.04882813</v>
      </c>
      <c r="G15" s="16" t="n">
        <f aca="false">-Costs!G20</f>
        <v>-8893156.33361875</v>
      </c>
    </row>
    <row r="16" customFormat="false" ht="15" hidden="false" customHeight="false" outlineLevel="0" collapsed="false">
      <c r="A16" s="37" t="s">
        <v>51</v>
      </c>
      <c r="B16" s="38" t="s">
        <v>62</v>
      </c>
      <c r="C16" s="39" t="n">
        <f aca="false">C14+C15</f>
        <v>-502375</v>
      </c>
      <c r="D16" s="39" t="n">
        <f aca="false">D14+D15</f>
        <v>-847822.65625</v>
      </c>
      <c r="E16" s="39" t="n">
        <f aca="false">E14+E15</f>
        <v>-834844.4140625</v>
      </c>
      <c r="F16" s="39" t="n">
        <f aca="false">F14+F15</f>
        <v>230402.943359375</v>
      </c>
      <c r="G16" s="39" t="n">
        <f aca="false">G14+G15</f>
        <v>3887885.89050625</v>
      </c>
    </row>
    <row r="17" customFormat="false" ht="15" hidden="false" customHeight="false" outlineLevel="0" collapsed="false">
      <c r="A17" s="8" t="s">
        <v>108</v>
      </c>
      <c r="B17" s="32" t="s">
        <v>90</v>
      </c>
      <c r="C17" s="40" t="n">
        <f aca="false">IF(C14=0,0,C16/C14)</f>
        <v>-1.16156069364162</v>
      </c>
      <c r="D17" s="40" t="n">
        <f aca="false">IF(D14=0,0,D16/D14)</f>
        <v>-0.855697749601804</v>
      </c>
      <c r="E17" s="40" t="n">
        <f aca="false">IF(E14=0,0,E16/E14)</f>
        <v>-0.334858731780751</v>
      </c>
      <c r="F17" s="40" t="n">
        <f aca="false">IF(F14=0,0,F16/F14)</f>
        <v>0.0397052925530216</v>
      </c>
      <c r="G17" s="40" t="n">
        <f aca="false">IF(G14=0,0,G16/G14)</f>
        <v>0.30419161617099</v>
      </c>
    </row>
    <row r="18" customFormat="false" ht="15" hidden="false" customHeight="false" outlineLevel="0" collapsed="false">
      <c r="A18" s="8" t="s">
        <v>109</v>
      </c>
      <c r="B18" s="32" t="s">
        <v>62</v>
      </c>
      <c r="C18" s="35" t="n">
        <f aca="false">C16</f>
        <v>-502375</v>
      </c>
      <c r="D18" s="35" t="n">
        <f aca="false">C18+D16</f>
        <v>-1350197.65625</v>
      </c>
      <c r="E18" s="35" t="n">
        <f aca="false">D18+E16</f>
        <v>-2185042.0703125</v>
      </c>
      <c r="F18" s="35" t="n">
        <f aca="false">E18+F16</f>
        <v>-1954639.12695313</v>
      </c>
      <c r="G18" s="35" t="n">
        <f aca="false">F18+G16</f>
        <v>1933246.76355313</v>
      </c>
    </row>
    <row r="20" customFormat="false" ht="15" hidden="false" customHeight="false" outlineLevel="0" collapsed="false">
      <c r="A20" s="31" t="s">
        <v>100</v>
      </c>
      <c r="B20" s="31"/>
      <c r="C20" s="31"/>
      <c r="D20" s="31"/>
      <c r="E20" s="31"/>
      <c r="F20" s="31"/>
      <c r="G20" s="31"/>
    </row>
    <row r="21" customFormat="false" ht="15" hidden="false" customHeight="false" outlineLevel="0" collapsed="false">
      <c r="A21" s="4" t="s">
        <v>7</v>
      </c>
      <c r="B21" s="32" t="s">
        <v>62</v>
      </c>
      <c r="C21" s="16" t="n">
        <f aca="false">Revenue!C52</f>
        <v>2145600</v>
      </c>
      <c r="D21" s="16" t="n">
        <f aca="false">Revenue!D52</f>
        <v>6091488</v>
      </c>
      <c r="E21" s="16" t="n">
        <f aca="false">Revenue!E52</f>
        <v>18631226.88</v>
      </c>
      <c r="F21" s="16" t="n">
        <f aca="false">Revenue!F52</f>
        <v>52670954.496</v>
      </c>
      <c r="G21" s="16" t="n">
        <f aca="false">Revenue!G52</f>
        <v>130092373.905408</v>
      </c>
    </row>
    <row r="22" customFormat="false" ht="15" hidden="false" customHeight="false" outlineLevel="0" collapsed="false">
      <c r="A22" s="8" t="s">
        <v>107</v>
      </c>
      <c r="B22" s="32" t="s">
        <v>62</v>
      </c>
      <c r="C22" s="16" t="n">
        <f aca="false">-Costs!C28</f>
        <v>-1786208</v>
      </c>
      <c r="D22" s="16" t="n">
        <f aca="false">-Costs!D28</f>
        <v>-4356467.84</v>
      </c>
      <c r="E22" s="16" t="n">
        <f aca="false">-Costs!E28</f>
        <v>-10025620.8384</v>
      </c>
      <c r="F22" s="16" t="n">
        <f aca="false">-Costs!F28</f>
        <v>-21340771.80928</v>
      </c>
      <c r="G22" s="16" t="n">
        <f aca="false">-Costs!G28</f>
        <v>-42728627.3029734</v>
      </c>
    </row>
    <row r="23" customFormat="false" ht="15" hidden="false" customHeight="false" outlineLevel="0" collapsed="false">
      <c r="A23" s="37" t="s">
        <v>51</v>
      </c>
      <c r="B23" s="38" t="s">
        <v>62</v>
      </c>
      <c r="C23" s="39" t="n">
        <f aca="false">C21+C22</f>
        <v>359392</v>
      </c>
      <c r="D23" s="39" t="n">
        <f aca="false">D21+D22</f>
        <v>1735020.16</v>
      </c>
      <c r="E23" s="39" t="n">
        <f aca="false">E21+E22</f>
        <v>8605606.0416</v>
      </c>
      <c r="F23" s="39" t="n">
        <f aca="false">F21+F22</f>
        <v>31330182.68672</v>
      </c>
      <c r="G23" s="39" t="n">
        <f aca="false">G21+G22</f>
        <v>87363746.6024346</v>
      </c>
    </row>
    <row r="24" customFormat="false" ht="15" hidden="false" customHeight="false" outlineLevel="0" collapsed="false">
      <c r="A24" s="8" t="s">
        <v>108</v>
      </c>
      <c r="B24" s="32" t="s">
        <v>90</v>
      </c>
      <c r="C24" s="40" t="n">
        <f aca="false">IF(C21=0,0,C23/C21)</f>
        <v>0.167501864280388</v>
      </c>
      <c r="D24" s="40" t="n">
        <f aca="false">IF(D21=0,0,D23/D21)</f>
        <v>0.2848269848024</v>
      </c>
      <c r="E24" s="40" t="n">
        <f aca="false">IF(E21=0,0,E23/E21)</f>
        <v>0.461891538170137</v>
      </c>
      <c r="F24" s="40" t="n">
        <f aca="false">IF(F21=0,0,F23/F21)</f>
        <v>0.594828458806444</v>
      </c>
      <c r="G24" s="40" t="n">
        <f aca="false">IF(G21=0,0,G23/G21)</f>
        <v>0.671551636577544</v>
      </c>
    </row>
    <row r="25" customFormat="false" ht="15" hidden="false" customHeight="false" outlineLevel="0" collapsed="false">
      <c r="A25" s="8" t="s">
        <v>109</v>
      </c>
      <c r="B25" s="32" t="s">
        <v>62</v>
      </c>
      <c r="C25" s="35" t="n">
        <f aca="false">C23</f>
        <v>359392</v>
      </c>
      <c r="D25" s="35" t="n">
        <f aca="false">C25+D23</f>
        <v>2094412.16</v>
      </c>
      <c r="E25" s="35" t="n">
        <f aca="false">D25+E23</f>
        <v>10700018.2016</v>
      </c>
      <c r="F25" s="35" t="n">
        <f aca="false">E25+F23</f>
        <v>42030200.88832</v>
      </c>
      <c r="G25" s="35" t="n">
        <f aca="false">F25+G23</f>
        <v>129393947.490755</v>
      </c>
    </row>
  </sheetData>
  <mergeCells count="3">
    <mergeCell ref="A6:G6"/>
    <mergeCell ref="A13:G13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7" min="3" style="0" width="15"/>
  </cols>
  <sheetData>
    <row r="1" customFormat="false" ht="27.75" hidden="false" customHeight="true" outlineLevel="0" collapsed="false">
      <c r="A1" s="22" t="s">
        <v>110</v>
      </c>
    </row>
    <row r="2" customFormat="false" ht="15" hidden="false" customHeight="false" outlineLevel="0" collapsed="false">
      <c r="A2" s="23" t="s">
        <v>111</v>
      </c>
    </row>
    <row r="4" customFormat="false" ht="15" hidden="false" customHeight="false" outlineLevel="0" collapsed="false">
      <c r="A4" s="13" t="s">
        <v>112</v>
      </c>
      <c r="B4" s="13" t="s">
        <v>57</v>
      </c>
      <c r="C4" s="14" t="s">
        <v>39</v>
      </c>
      <c r="D4" s="14" t="s">
        <v>40</v>
      </c>
      <c r="E4" s="14" t="s">
        <v>41</v>
      </c>
      <c r="F4" s="14" t="s">
        <v>42</v>
      </c>
      <c r="G4" s="14" t="s">
        <v>43</v>
      </c>
    </row>
    <row r="6" customFormat="false" ht="15" hidden="false" customHeight="false" outlineLevel="0" collapsed="false">
      <c r="A6" s="31" t="s">
        <v>88</v>
      </c>
      <c r="B6" s="31"/>
      <c r="C6" s="31"/>
      <c r="D6" s="31"/>
      <c r="E6" s="31"/>
      <c r="F6" s="31"/>
      <c r="G6" s="31"/>
    </row>
    <row r="7" customFormat="false" ht="15" hidden="false" customHeight="false" outlineLevel="0" collapsed="false">
      <c r="A7" s="8" t="s">
        <v>113</v>
      </c>
      <c r="B7" s="32" t="s">
        <v>60</v>
      </c>
      <c r="C7" s="33" t="n">
        <f aca="false">Revenue!C8</f>
        <v>15</v>
      </c>
      <c r="D7" s="33" t="n">
        <f aca="false">Revenue!D8</f>
        <v>60</v>
      </c>
      <c r="E7" s="33" t="n">
        <f aca="false">Revenue!E8</f>
        <v>170</v>
      </c>
      <c r="F7" s="33" t="n">
        <f aca="false">Revenue!F8</f>
        <v>390</v>
      </c>
      <c r="G7" s="33" t="n">
        <f aca="false">Revenue!G8</f>
        <v>740</v>
      </c>
    </row>
    <row r="8" customFormat="false" ht="15" hidden="false" customHeight="false" outlineLevel="0" collapsed="false">
      <c r="A8" s="4" t="s">
        <v>52</v>
      </c>
      <c r="B8" s="32" t="s">
        <v>62</v>
      </c>
      <c r="C8" s="16" t="n">
        <f aca="false">Revenue!C13</f>
        <v>300000</v>
      </c>
      <c r="D8" s="16" t="n">
        <f aca="false">Revenue!D13</f>
        <v>1335000</v>
      </c>
      <c r="E8" s="16" t="n">
        <f aca="false">Revenue!E13</f>
        <v>4302750</v>
      </c>
      <c r="F8" s="16" t="n">
        <f aca="false">Revenue!F13</f>
        <v>11260537.5</v>
      </c>
      <c r="G8" s="16" t="n">
        <f aca="false">Revenue!G13</f>
        <v>24086656.875</v>
      </c>
    </row>
    <row r="9" customFormat="false" ht="15" hidden="false" customHeight="false" outlineLevel="0" collapsed="false">
      <c r="A9" s="4" t="s">
        <v>114</v>
      </c>
      <c r="B9" s="32" t="s">
        <v>62</v>
      </c>
      <c r="C9" s="16" t="n">
        <f aca="false">Revenue!C17+Revenue!C19</f>
        <v>18750</v>
      </c>
      <c r="D9" s="16" t="n">
        <f aca="false">Revenue!D17+Revenue!D19</f>
        <v>52087.5</v>
      </c>
      <c r="E9" s="16" t="n">
        <f aca="false">Revenue!E17+Revenue!E19</f>
        <v>143694.375</v>
      </c>
      <c r="F9" s="16" t="n">
        <f aca="false">Revenue!F17+Revenue!F19</f>
        <v>332908.21875</v>
      </c>
      <c r="G9" s="16" t="n">
        <f aca="false">Revenue!G17+Revenue!G19</f>
        <v>664367.9859375</v>
      </c>
    </row>
    <row r="10" customFormat="false" ht="15" hidden="false" customHeight="false" outlineLevel="0" collapsed="false">
      <c r="A10" s="8" t="s">
        <v>115</v>
      </c>
      <c r="B10" s="32" t="s">
        <v>62</v>
      </c>
      <c r="C10" s="35" t="n">
        <f aca="false">IF(Revenue!C8=0,0,Revenue!C20/Revenue!C8)</f>
        <v>1551</v>
      </c>
      <c r="D10" s="35" t="n">
        <f aca="false">IF(Revenue!D8=0,0,Revenue!D20/Revenue!D8)</f>
        <v>1140.16875</v>
      </c>
      <c r="E10" s="35" t="n">
        <f aca="false">IF(Revenue!E8=0,0,Revenue!E20/Revenue!E8)</f>
        <v>1128.10676470588</v>
      </c>
      <c r="F10" s="35" t="n">
        <f aca="false">IF(Revenue!F8=0,0,Revenue!F20/Revenue!F8)</f>
        <v>1151.02981971154</v>
      </c>
      <c r="G10" s="35" t="n">
        <f aca="false">IF(Revenue!G8=0,0,Revenue!G20/Revenue!G8)</f>
        <v>1199.18657445101</v>
      </c>
    </row>
    <row r="11" customFormat="false" ht="15" hidden="false" customHeight="false" outlineLevel="0" collapsed="false">
      <c r="A11" s="8" t="s">
        <v>116</v>
      </c>
      <c r="B11" s="32" t="s">
        <v>90</v>
      </c>
      <c r="C11" s="40" t="n">
        <f aca="false">IF(Revenue!C10=0,0,Revenue!C20/Revenue!C10)</f>
        <v>0.07755</v>
      </c>
      <c r="D11" s="40" t="n">
        <f aca="false">IF(Revenue!D10=0,0,Revenue!D20/Revenue!D10)</f>
        <v>0.0633427083333333</v>
      </c>
      <c r="E11" s="40" t="n">
        <f aca="false">IF(Revenue!E10=0,0,Revenue!E20/Revenue!E10)</f>
        <v>0.0605360321969697</v>
      </c>
      <c r="F11" s="40" t="n">
        <f aca="false">IF(Revenue!F10=0,0,Revenue!F20/Revenue!F10)</f>
        <v>0.0590411444769965</v>
      </c>
      <c r="G11" s="40" t="n">
        <f aca="false">IF(Revenue!G10=0,0,Revenue!G20/Revenue!G10)</f>
        <v>0.0611357793963397</v>
      </c>
    </row>
    <row r="13" customFormat="false" ht="15" hidden="false" customHeight="false" outlineLevel="0" collapsed="false">
      <c r="A13" s="31" t="s">
        <v>99</v>
      </c>
      <c r="B13" s="31"/>
      <c r="C13" s="31"/>
      <c r="D13" s="31"/>
      <c r="E13" s="31"/>
      <c r="F13" s="31"/>
      <c r="G13" s="31"/>
    </row>
    <row r="14" customFormat="false" ht="15" hidden="false" customHeight="false" outlineLevel="0" collapsed="false">
      <c r="A14" s="8" t="s">
        <v>113</v>
      </c>
      <c r="B14" s="32" t="s">
        <v>60</v>
      </c>
      <c r="C14" s="33" t="n">
        <f aca="false">Revenue!C24</f>
        <v>50</v>
      </c>
      <c r="D14" s="33" t="n">
        <f aca="false">Revenue!D24</f>
        <v>200</v>
      </c>
      <c r="E14" s="33" t="n">
        <f aca="false">Revenue!E24</f>
        <v>575</v>
      </c>
      <c r="F14" s="33" t="n">
        <f aca="false">Revenue!F24</f>
        <v>1325</v>
      </c>
      <c r="G14" s="33" t="n">
        <f aca="false">Revenue!G24</f>
        <v>2638</v>
      </c>
    </row>
    <row r="15" customFormat="false" ht="15" hidden="false" customHeight="false" outlineLevel="0" collapsed="false">
      <c r="A15" s="4" t="s">
        <v>52</v>
      </c>
      <c r="B15" s="32" t="s">
        <v>62</v>
      </c>
      <c r="C15" s="16" t="n">
        <f aca="false">Revenue!C29</f>
        <v>2500000</v>
      </c>
      <c r="D15" s="16" t="n">
        <f aca="false">Revenue!D29</f>
        <v>10875000</v>
      </c>
      <c r="E15" s="16" t="n">
        <f aca="false">Revenue!E29</f>
        <v>34584375</v>
      </c>
      <c r="F15" s="16" t="n">
        <f aca="false">Revenue!F29</f>
        <v>88158937.5</v>
      </c>
      <c r="G15" s="16" t="n">
        <f aca="false">Revenue!G29</f>
        <v>194166206.75</v>
      </c>
    </row>
    <row r="16" customFormat="false" ht="15" hidden="false" customHeight="false" outlineLevel="0" collapsed="false">
      <c r="A16" s="4" t="s">
        <v>114</v>
      </c>
      <c r="B16" s="32" t="s">
        <v>62</v>
      </c>
      <c r="C16" s="16" t="n">
        <f aca="false">Revenue!C33+Revenue!C35</f>
        <v>369375</v>
      </c>
      <c r="D16" s="16" t="n">
        <f aca="false">Revenue!D33+Revenue!D35</f>
        <v>770156.25</v>
      </c>
      <c r="E16" s="16" t="n">
        <f aca="false">Revenue!E33+Revenue!E35</f>
        <v>1850472.65625</v>
      </c>
      <c r="F16" s="16" t="n">
        <f aca="false">Revenue!F33+Revenue!F35</f>
        <v>4300287.421875</v>
      </c>
      <c r="G16" s="16" t="n">
        <f aca="false">Revenue!G33+Revenue!G35</f>
        <v>9698719.2909375</v>
      </c>
    </row>
    <row r="17" customFormat="false" ht="15" hidden="false" customHeight="false" outlineLevel="0" collapsed="false">
      <c r="A17" s="8" t="s">
        <v>115</v>
      </c>
      <c r="B17" s="32" t="s">
        <v>62</v>
      </c>
      <c r="C17" s="35" t="n">
        <f aca="false">IF(Revenue!C24=0,0,Revenue!C36/Revenue!C24)</f>
        <v>8650</v>
      </c>
      <c r="D17" s="35" t="n">
        <f aca="false">IF(Revenue!D24=0,0,Revenue!D36/Revenue!D24)</f>
        <v>4953.984375</v>
      </c>
      <c r="E17" s="35" t="n">
        <f aca="false">IF(Revenue!E24=0,0,Revenue!E36/Revenue!E24)</f>
        <v>4335.86820652174</v>
      </c>
      <c r="F17" s="35" t="n">
        <f aca="false">IF(Revenue!F24=0,0,Revenue!F36/Revenue!F24)</f>
        <v>4379.49206957547</v>
      </c>
      <c r="G17" s="35" t="n">
        <f aca="false">IF(Revenue!G24=0,0,Revenue!G36/Revenue!G24)</f>
        <v>4844.97430785633</v>
      </c>
    </row>
    <row r="18" customFormat="false" ht="15" hidden="false" customHeight="false" outlineLevel="0" collapsed="false">
      <c r="A18" s="8" t="s">
        <v>116</v>
      </c>
      <c r="B18" s="32" t="s">
        <v>90</v>
      </c>
      <c r="C18" s="40" t="n">
        <f aca="false">IF(Revenue!C26=0,0,Revenue!C36/Revenue!C26)</f>
        <v>0.173</v>
      </c>
      <c r="D18" s="40" t="n">
        <f aca="false">IF(Revenue!D26=0,0,Revenue!D36/Revenue!D26)</f>
        <v>0.114875</v>
      </c>
      <c r="E18" s="40" t="n">
        <f aca="false">IF(Revenue!E26=0,0,Revenue!E36/Revenue!E26)</f>
        <v>0.100541871455577</v>
      </c>
      <c r="F18" s="40" t="n">
        <f aca="false">IF(Revenue!F26=0,0,Revenue!F36/Revenue!F26)</f>
        <v>0.101745077274341</v>
      </c>
      <c r="G18" s="40" t="n">
        <f aca="false">IF(Revenue!G26=0,0,Revenue!G36/Revenue!G26)</f>
        <v>0.111310661457088</v>
      </c>
    </row>
    <row r="20" customFormat="false" ht="15" hidden="false" customHeight="false" outlineLevel="0" collapsed="false">
      <c r="A20" s="31" t="s">
        <v>100</v>
      </c>
      <c r="B20" s="31"/>
      <c r="C20" s="31"/>
      <c r="D20" s="31"/>
      <c r="E20" s="31"/>
      <c r="F20" s="31"/>
      <c r="G20" s="31"/>
    </row>
    <row r="21" customFormat="false" ht="15" hidden="false" customHeight="false" outlineLevel="0" collapsed="false">
      <c r="A21" s="8" t="s">
        <v>113</v>
      </c>
      <c r="B21" s="32" t="s">
        <v>60</v>
      </c>
      <c r="C21" s="33" t="n">
        <f aca="false">Revenue!C40</f>
        <v>120</v>
      </c>
      <c r="D21" s="33" t="n">
        <f aca="false">Revenue!D40</f>
        <v>540</v>
      </c>
      <c r="E21" s="33" t="n">
        <f aca="false">Revenue!E40</f>
        <v>1800</v>
      </c>
      <c r="F21" s="33" t="n">
        <f aca="false">Revenue!F40</f>
        <v>4950</v>
      </c>
      <c r="G21" s="33" t="n">
        <f aca="false">Revenue!G40</f>
        <v>11250</v>
      </c>
    </row>
    <row r="22" customFormat="false" ht="15" hidden="false" customHeight="false" outlineLevel="0" collapsed="false">
      <c r="A22" s="4" t="s">
        <v>52</v>
      </c>
      <c r="B22" s="32" t="s">
        <v>62</v>
      </c>
      <c r="C22" s="16" t="n">
        <f aca="false">Revenue!C45</f>
        <v>9600000</v>
      </c>
      <c r="D22" s="16" t="n">
        <f aca="false">Revenue!D45</f>
        <v>49152000</v>
      </c>
      <c r="E22" s="16" t="n">
        <f aca="false">Revenue!E45</f>
        <v>190371840</v>
      </c>
      <c r="F22" s="16" t="n">
        <f aca="false">Revenue!F45</f>
        <v>610598092.8</v>
      </c>
      <c r="G22" s="16" t="n">
        <f aca="false">Revenue!G45</f>
        <v>1606844645.376</v>
      </c>
    </row>
    <row r="23" customFormat="false" ht="15" hidden="false" customHeight="false" outlineLevel="0" collapsed="false">
      <c r="A23" s="4" t="s">
        <v>114</v>
      </c>
      <c r="B23" s="32" t="s">
        <v>62</v>
      </c>
      <c r="C23" s="16" t="n">
        <f aca="false">Revenue!C49+Revenue!C51</f>
        <v>1848000</v>
      </c>
      <c r="D23" s="16" t="n">
        <f aca="false">Revenue!D49+Revenue!D51</f>
        <v>4793760</v>
      </c>
      <c r="E23" s="16" t="n">
        <f aca="false">Revenue!E49+Revenue!E51</f>
        <v>13797619.2</v>
      </c>
      <c r="F23" s="16" t="n">
        <f aca="false">Revenue!F49+Revenue!F51</f>
        <v>37604849.664</v>
      </c>
      <c r="G23" s="16" t="n">
        <f aca="false">Revenue!G49+Revenue!G51</f>
        <v>92087213.69088</v>
      </c>
    </row>
    <row r="24" customFormat="false" ht="15" hidden="false" customHeight="false" outlineLevel="0" collapsed="false">
      <c r="A24" s="8" t="s">
        <v>115</v>
      </c>
      <c r="B24" s="32" t="s">
        <v>62</v>
      </c>
      <c r="C24" s="35" t="n">
        <f aca="false">IF(Revenue!C40=0,0,Revenue!C52/Revenue!C40)</f>
        <v>17880</v>
      </c>
      <c r="D24" s="35" t="n">
        <f aca="false">IF(Revenue!D40=0,0,Revenue!D52/Revenue!D40)</f>
        <v>11280.5333333333</v>
      </c>
      <c r="E24" s="35" t="n">
        <f aca="false">IF(Revenue!E40=0,0,Revenue!E52/Revenue!E40)</f>
        <v>10350.6816</v>
      </c>
      <c r="F24" s="35" t="n">
        <f aca="false">IF(Revenue!F40=0,0,Revenue!F52/Revenue!F40)</f>
        <v>10640.5968678788</v>
      </c>
      <c r="G24" s="35" t="n">
        <f aca="false">IF(Revenue!G40=0,0,Revenue!G52/Revenue!G40)</f>
        <v>11563.7665693696</v>
      </c>
    </row>
    <row r="25" customFormat="false" ht="15" hidden="false" customHeight="false" outlineLevel="0" collapsed="false">
      <c r="A25" s="8" t="s">
        <v>116</v>
      </c>
      <c r="B25" s="32" t="s">
        <v>90</v>
      </c>
      <c r="C25" s="40" t="n">
        <f aca="false">IF(Revenue!C42=0,0,Revenue!C52/Revenue!C42)</f>
        <v>0.2235</v>
      </c>
      <c r="D25" s="40" t="n">
        <f aca="false">IF(Revenue!D42=0,0,Revenue!D52/Revenue!D42)</f>
        <v>0.151078571428571</v>
      </c>
      <c r="E25" s="40" t="n">
        <f aca="false">IF(Revenue!E42=0,0,Revenue!E52/Revenue!E42)</f>
        <v>0.128356666666667</v>
      </c>
      <c r="F25" s="40" t="n">
        <f aca="false">IF(Revenue!F42=0,0,Revenue!F52/Revenue!F42)</f>
        <v>0.120955858906526</v>
      </c>
      <c r="G25" s="40" t="n">
        <f aca="false">IF(Revenue!G42=0,0,Revenue!G52/Revenue!G42)</f>
        <v>0.124479065149912</v>
      </c>
    </row>
  </sheetData>
  <mergeCells count="3">
    <mergeCell ref="A6:G6"/>
    <mergeCell ref="A13:G13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2026-04-23T11:26:04Z</dcterms:created>
  <dc:creator>openpyxl</dc:creator>
  <dc:description/>
  <dc:language>en-US</dc:language>
  <cp:lastModifiedBy/>
  <dcterms:modified xsi:type="dcterms:W3CDTF">2026-04-23T11:26:04Z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